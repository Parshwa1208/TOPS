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2.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D:\TOPS TECH\EXCEL\ASSESMENT\Intro to excel\"/>
    </mc:Choice>
  </mc:AlternateContent>
  <xr:revisionPtr revIDLastSave="0" documentId="13_ncr:1_{A298129B-F149-44F7-9861-017D48BE08B2}" xr6:coauthVersionLast="47" xr6:coauthVersionMax="47" xr10:uidLastSave="{00000000-0000-0000-0000-000000000000}"/>
  <bookViews>
    <workbookView xWindow="-108" yWindow="-108" windowWidth="23256" windowHeight="12456" activeTab="1" xr2:uid="{307FBC3D-BB09-4D60-8F01-D2AFB8F71283}"/>
  </bookViews>
  <sheets>
    <sheet name="Table1" sheetId="2" r:id="rId1"/>
    <sheet name="Pivot" sheetId="3" r:id="rId2"/>
    <sheet name="Sheet1" sheetId="1" state="hidden" r:id="rId3"/>
  </sheets>
  <definedNames>
    <definedName name="ExternalData_1" localSheetId="0" hidden="1">Table1!$A$1:$H$47</definedName>
    <definedName name="Slicer_Account_Code">#N/A</definedName>
  </definedNames>
  <calcPr calcId="191029"/>
  <pivotCaches>
    <pivotCache cacheId="1"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36F84D0-BD7A-4856-AA2C-D8C017B1F882}"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<sst xmlns="http://schemas.openxmlformats.org/spreadsheetml/2006/main" count="497" uniqueCount="84">
  <si>
    <t>Document Date</t>
  </si>
  <si>
    <t>Supplier</t>
  </si>
  <si>
    <t>Reference</t>
  </si>
  <si>
    <t>Description</t>
  </si>
  <si>
    <t>Tax Inclusive Amount</t>
  </si>
  <si>
    <t>Account Code</t>
  </si>
  <si>
    <t>Payment Date</t>
  </si>
  <si>
    <t>XY Solutions</t>
  </si>
  <si>
    <t>Opening Balance</t>
  </si>
  <si>
    <t>A</t>
  </si>
  <si>
    <t>B1</t>
  </si>
  <si>
    <t>IS Communications</t>
  </si>
  <si>
    <t>Invoice EXP22</t>
  </si>
  <si>
    <t>Internet Service Provider</t>
  </si>
  <si>
    <t>IS-300</t>
  </si>
  <si>
    <t>Newscorp</t>
  </si>
  <si>
    <t>Subscriptions</t>
  </si>
  <si>
    <t>IS-375</t>
  </si>
  <si>
    <t>EAG Brokers</t>
  </si>
  <si>
    <t>Debit Order</t>
  </si>
  <si>
    <t>Insurance</t>
  </si>
  <si>
    <t>IS-345</t>
  </si>
  <si>
    <t>Capital Bank</t>
  </si>
  <si>
    <t>Bank Statement</t>
  </si>
  <si>
    <t>Service Fees</t>
  </si>
  <si>
    <t>BS-315</t>
  </si>
  <si>
    <t>AS Accountants</t>
  </si>
  <si>
    <t>Invoice</t>
  </si>
  <si>
    <t>Bookkeeping</t>
  </si>
  <si>
    <t>IS-305</t>
  </si>
  <si>
    <t>Interflora</t>
  </si>
  <si>
    <t>Cash</t>
  </si>
  <si>
    <t>Flowers</t>
  </si>
  <si>
    <t>IS-390</t>
  </si>
  <si>
    <t>QA International</t>
  </si>
  <si>
    <t>TR6998</t>
  </si>
  <si>
    <t>Parking</t>
  </si>
  <si>
    <t>Example (Pty) Ltd</t>
  </si>
  <si>
    <t>Transfer</t>
  </si>
  <si>
    <t>Inter Account Transfer</t>
  </si>
  <si>
    <t>E</t>
  </si>
  <si>
    <t>BS-399</t>
  </si>
  <si>
    <t>BS-365</t>
  </si>
  <si>
    <t>Payroll</t>
  </si>
  <si>
    <t>Salaries</t>
  </si>
  <si>
    <t>HP Finance</t>
  </si>
  <si>
    <t>Capital repayment</t>
  </si>
  <si>
    <t>Interest paid</t>
  </si>
  <si>
    <t>PR Properties</t>
  </si>
  <si>
    <t>Rent</t>
  </si>
  <si>
    <t>Petty Cash Reimbursement</t>
  </si>
  <si>
    <t>Invoice EXP23</t>
  </si>
  <si>
    <t>Inland Revenue</t>
  </si>
  <si>
    <t>Return</t>
  </si>
  <si>
    <t>Sales Tax</t>
  </si>
  <si>
    <t>Furniture City</t>
  </si>
  <si>
    <t>Furniture</t>
  </si>
  <si>
    <t>GT Supplies</t>
  </si>
  <si>
    <t>Consumables</t>
  </si>
  <si>
    <t>IS-365</t>
  </si>
  <si>
    <t>Invoice EXP24</t>
  </si>
  <si>
    <t>Training Inc</t>
  </si>
  <si>
    <t>Course</t>
  </si>
  <si>
    <t>City Lodge</t>
  </si>
  <si>
    <t>S50037</t>
  </si>
  <si>
    <t>Accommodation</t>
  </si>
  <si>
    <t>Waltons</t>
  </si>
  <si>
    <t>Stationery</t>
  </si>
  <si>
    <t>Document name</t>
  </si>
  <si>
    <t>S77782</t>
  </si>
  <si>
    <t>Tax Code</t>
  </si>
  <si>
    <t>Grand Total</t>
  </si>
  <si>
    <t>05-Jan</t>
  </si>
  <si>
    <t>Days (Document Date)</t>
  </si>
  <si>
    <t>26-Mar</t>
  </si>
  <si>
    <t>21-Apr</t>
  </si>
  <si>
    <t>26-Apr</t>
  </si>
  <si>
    <t>03-May</t>
  </si>
  <si>
    <t>04-May</t>
  </si>
  <si>
    <t>05-Jul</t>
  </si>
  <si>
    <t>03-Aug</t>
  </si>
  <si>
    <t>03-Oct</t>
  </si>
  <si>
    <t>05-Oct</t>
  </si>
  <si>
    <t>Tax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</si>
</sst>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rgb="FFC8C8C8"/>
        <bgColor indexed="64"/>
      </patternFill>
    </fill>
  </fills>
  <borders count="1">
    <border>
      <left/>
      <right/>
      <top/>
      <bottom/>
      <diagonal/>
    </border>
  </borders>
  <cellStyleXfs count="1">
    <xf numFmtId="0" fontId="0" fillId="0" borderId="0"/>
  </cellStyleXfs>
  <cellXfs count="8">
    <xf numFmtId="0" fontId="0" fillId="0" borderId="0" xfId="0"/>
    <xf numFmtId="14" fontId="0" fillId="0" borderId="0" xfId="0" applyNumberFormat="1"/>
    <xf numFmtId="0" fontId="1" fillId="2" borderId="0" xfId="0" applyFont="1" applyFill="1" applyAlignment="1">
      <alignment horizontal="center"/>
    </xf>
    <xf numFmtId="14" fontId="1" fillId="2" borderId="0" xfId="0" applyNumberFormat="1" applyFont="1" applyFill="1" applyAlignment="1">
      <alignment horizontal="center"/>
    </xf>
    <xf numFmtId="164" fontId="1" fillId="2" borderId="0" xfId="0" applyNumberFormat="1" applyFont="1" applyFill="1" applyAlignment="1">
      <alignment horizontal="center"/>
    </xf>
    <xf numFmtId="164" fontId="0" fillId="0" borderId="0" xfId="0" applyNumberFormat="1"/>
    <xf numFmtId="0" fontId="0" fillId="0" borderId="0" xfId="0" pivotButton="1"/>
    <xf numFmtId="0" fontId="0" fillId="0" borderId="0" xfId="0" applyNumberFormat="1"/>
  </cellXfs>
  <cellStyles count="1">
    <cellStyle name="Normal" xfId="0" builtinId="0"/>
  </cellStyles>
  <dxfs count="10">
    <dxf>
      <numFmt numFmtId="19" formatCode="dd/mm/yyyy"/>
    </dxf>
    <dxf>
      <numFmt numFmtId="164" formatCode="&quot;₹&quot;\ #,##0.00"/>
    </dxf>
    <dxf>
      <numFmt numFmtId="19" formatCode="dd/mm/yyyy"/>
    </dxf>
    <dxf>
      <font>
        <b/>
        <i val="0"/>
        <strike val="0"/>
        <condense val="0"/>
        <extend val="0"/>
        <outline val="0"/>
        <shadow val="0"/>
        <u val="none"/>
        <vertAlign val="baseline"/>
        <sz val="11"/>
        <color theme="1"/>
        <name val="Calibri"/>
        <family val="2"/>
        <scheme val="minor"/>
      </font>
      <fill>
        <patternFill patternType="solid">
          <fgColor indexed="64"/>
          <bgColor rgb="FFC8C8C8"/>
        </patternFill>
      </fill>
      <alignment horizontal="center" vertical="bottom" textRotation="0" wrapText="0" indent="0" justifyLastLine="0" shrinkToFit="0" readingOrder="0"/>
    </dxf>
    <dxf>
      <numFmt numFmtId="19" formatCode="dd/mm/yyyy"/>
    </dxf>
    <dxf>
      <numFmt numFmtId="0" formatCode="General"/>
    </dxf>
    <dxf>
      <numFmt numFmtId="0" formatCode="General"/>
    </dxf>
    <dxf>
      <numFmt numFmtId="0" formatCode="General"/>
    </dxf>
    <dxf>
      <numFmt numFmtId="0" formatCode="General"/>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5</xdr:col>
      <xdr:colOff>342900</xdr:colOff>
      <xdr:row>2</xdr:row>
      <xdr:rowOff>7620</xdr:rowOff>
    </xdr:from>
    <xdr:to>
      <xdr:col>8</xdr:col>
      <xdr:colOff>342900</xdr:colOff>
      <xdr:row>15</xdr:row>
      <xdr:rowOff>97155</xdr:rowOff>
    </xdr:to>
    <mc:AlternateContent xmlns:mc="http://schemas.openxmlformats.org/markup-compatibility/2006">
      <mc:Choice xmlns:a14="http://schemas.microsoft.com/office/drawing/2010/main" Requires="a14">
        <xdr:graphicFrame macro="">
          <xdr:nvGraphicFramePr>
            <xdr:cNvPr id="2" name="Account Code">
              <a:extLst>
                <a:ext uri="{FF2B5EF4-FFF2-40B4-BE49-F238E27FC236}">
                  <a16:creationId xmlns:a16="http://schemas.microsoft.com/office/drawing/2014/main" id="{361B390F-D34E-A26C-DFA7-D753D8ACAF6F}"/>
                </a:ext>
              </a:extLst>
            </xdr:cNvPr>
            <xdr:cNvGraphicFramePr/>
          </xdr:nvGraphicFramePr>
          <xdr:xfrm>
            <a:off x="0" y="0"/>
            <a:ext cx="0" cy="0"/>
          </xdr:xfrm>
          <a:graphic>
            <a:graphicData uri="http://schemas.microsoft.com/office/drawing/2010/slicer">
              <sle:slicer xmlns:sle="http://schemas.microsoft.com/office/drawing/2010/slicer" name="Account Code"/>
            </a:graphicData>
          </a:graphic>
        </xdr:graphicFrame>
      </mc:Choice>
      <mc:Fallback>
        <xdr:sp macro="" textlink="">
          <xdr:nvSpPr>
            <xdr:cNvPr id="0" name=""/>
            <xdr:cNvSpPr>
              <a:spLocks noTextEdit="1"/>
            </xdr:cNvSpPr>
          </xdr:nvSpPr>
          <xdr:spPr>
            <a:xfrm>
              <a:off x="5204460" y="3733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74.553081597223" createdVersion="8" refreshedVersion="8" minRefreshableVersion="3" recordCount="46" xr:uid="{A3DA71E2-76D7-4C4E-B708-5953D149A715}">
  <cacheSource type="worksheet">
    <worksheetSource name="Table1_1"/>
  </cacheSource>
  <cacheFields count="10">
    <cacheField name="Document Date" numFmtId="14">
      <sharedItems containsSemiMixedTypes="0" containsNonDate="0" containsDate="1" containsString="0" minDate="2011-01-03T00:00:00" maxDate="2011-10-06T00:00:00" count="26">
        <d v="2011-02-14T00:00:00"/>
        <d v="2011-01-03T00:00:00"/>
        <d v="2011-05-03T00:00:00"/>
        <d v="2011-07-03T00:00:00"/>
        <d v="2011-08-03T00:00:00"/>
        <d v="2011-10-03T00:00:00"/>
        <d v="2011-03-20T00:00:00"/>
        <d v="2011-03-25T00:00:00"/>
        <d v="2011-03-26T00:00:00"/>
        <d v="2011-03-31T00:00:00"/>
        <d v="2011-01-04T00:00:00"/>
        <d v="2011-05-04T00:00:00"/>
        <d v="2011-04-15T00:00:00"/>
        <d v="2011-04-20T00:00:00"/>
        <d v="2011-04-21T00:00:00"/>
        <d v="2011-04-25T00:00:00"/>
        <d v="2011-04-26T00:00:00"/>
        <d v="2011-04-30T00:00:00"/>
        <d v="2011-01-05T00:00:00"/>
        <d v="2011-05-05T00:00:00"/>
        <d v="2011-07-05T00:00:00"/>
        <d v="2011-10-05T00:00:00"/>
        <d v="2011-05-15T00:00:00"/>
        <d v="2011-05-20T00:00:00"/>
        <d v="2011-05-25T00:00:00"/>
        <d v="2011-05-26T00:00:00"/>
      </sharedItems>
      <fieldGroup par="9"/>
    </cacheField>
    <cacheField name="Supplier" numFmtId="0">
      <sharedItems count="17">
        <s v="XY Solutions"/>
        <s v="IS Communications"/>
        <s v="Newscorp"/>
        <s v="EAG Brokers"/>
        <s v="Capital Bank"/>
        <s v="AS Accountants"/>
        <s v="Interflora"/>
        <s v="QA International"/>
        <s v="Example (Pty) Ltd"/>
        <s v="HP Finance"/>
        <s v="PR Properties"/>
        <s v="Inland Revenue"/>
        <s v="Furniture City"/>
        <s v="GT Supplies"/>
        <s v="Training Inc"/>
        <s v="City Lodge"/>
        <s v="Waltons"/>
      </sharedItems>
    </cacheField>
    <cacheField name="Reference" numFmtId="0">
      <sharedItems containsMixedTypes="1" containsNumber="1" containsInteger="1" minValue="111799" maxValue="813119"/>
    </cacheField>
    <cacheField name="Description" numFmtId="0">
      <sharedItems/>
    </cacheField>
    <cacheField name="Tax Inclusive Amount" numFmtId="0">
      <sharedItems containsSemiMixedTypes="0" containsString="0" containsNumber="1" containsInteger="1" minValue="-20000" maxValue="20000"/>
    </cacheField>
    <cacheField name="Tax Code" numFmtId="0">
      <sharedItems/>
    </cacheField>
    <cacheField name="Account Code" numFmtId="0">
      <sharedItems count="10">
        <s v="B1"/>
        <s v="IS-300"/>
        <s v="IS-375"/>
        <s v="IS-345"/>
        <s v="BS-315"/>
        <s v="IS-305"/>
        <s v="IS-390"/>
        <s v="BS-399"/>
        <s v="BS-365"/>
        <s v="IS-365"/>
      </sharedItems>
    </cacheField>
    <cacheField name="Payment Date" numFmtId="14">
      <sharedItems containsSemiMixedTypes="0" containsNonDate="0" containsDate="1" containsString="0" minDate="2011-03-02T00:00:00" maxDate="2011-05-27T00:00:00"/>
    </cacheField>
    <cacheField name="Days (Document Date)" numFmtId="0" databaseField="0">
      <fieldGroup base="0">
        <rangePr groupBy="days" startDate="2011-01-03T00:00:00" endDate="2011-10-06T00:00:00"/>
        <groupItems count="368">
          <s v="&lt;03-01-201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6-10-2011"/>
        </groupItems>
      </fieldGroup>
    </cacheField>
    <cacheField name="Months (Document Date)" numFmtId="0" databaseField="0">
      <fieldGroup base="0">
        <rangePr groupBy="months" startDate="2011-01-03T00:00:00" endDate="2011-10-06T00:00:00"/>
        <groupItems count="14">
          <s v="&lt;03-01-2011"/>
          <s v="Jan"/>
          <s v="Feb"/>
          <s v="Mar"/>
          <s v="Apr"/>
          <s v="May"/>
          <s v="Jun"/>
          <s v="Jul"/>
          <s v="Aug"/>
          <s v="Sep"/>
          <s v="Oct"/>
          <s v="Nov"/>
          <s v="Dec"/>
          <s v="&gt;06-10-2011"/>
        </groupItems>
      </fieldGroup>
    </cacheField>
  </cacheFields>
  <extLst>
    <ext xmlns:x14="http://schemas.microsoft.com/office/spreadsheetml/2009/9/main" uri="{725AE2AE-9491-48be-B2B4-4EB974FC3084}">
      <x14:pivotCacheDefinition pivotCacheId="4730482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
  <r>
    <x v="0"/>
    <x v="0"/>
    <s v="S77782"/>
    <s v="Opening Balance"/>
    <n v="5100"/>
    <s v="A"/>
    <x v="0"/>
    <d v="2011-03-02T00:00:00"/>
  </r>
  <r>
    <x v="1"/>
    <x v="1"/>
    <s v="Invoice EXP22"/>
    <s v="Internet Service Provider"/>
    <n v="179"/>
    <s v="A"/>
    <x v="1"/>
    <d v="2011-03-05T00:00:00"/>
  </r>
  <r>
    <x v="2"/>
    <x v="2"/>
    <n v="813119"/>
    <s v="Subscriptions"/>
    <n v="478"/>
    <s v="A"/>
    <x v="2"/>
    <d v="2011-03-15T00:00:00"/>
  </r>
  <r>
    <x v="2"/>
    <x v="3"/>
    <s v="Debit Order"/>
    <s v="Insurance"/>
    <n v="340"/>
    <s v="A"/>
    <x v="3"/>
    <d v="2011-03-05T00:00:00"/>
  </r>
  <r>
    <x v="2"/>
    <x v="4"/>
    <s v="Bank Statement"/>
    <s v="Service Fees"/>
    <n v="35"/>
    <s v="A"/>
    <x v="4"/>
    <d v="2011-03-05T00:00:00"/>
  </r>
  <r>
    <x v="3"/>
    <x v="4"/>
    <s v="Bank Statement"/>
    <s v="Service Fees"/>
    <n v="86"/>
    <s v="A"/>
    <x v="4"/>
    <d v="2011-03-07T00:00:00"/>
  </r>
  <r>
    <x v="4"/>
    <x v="5"/>
    <s v="Invoice"/>
    <s v="Bookkeeping"/>
    <n v="1000"/>
    <s v="A"/>
    <x v="5"/>
    <d v="2011-04-05T00:00:00"/>
  </r>
  <r>
    <x v="4"/>
    <x v="6"/>
    <s v="Cash"/>
    <s v="Flowers"/>
    <n v="106"/>
    <s v="A"/>
    <x v="6"/>
    <d v="2011-03-08T00:00:00"/>
  </r>
  <r>
    <x v="5"/>
    <x v="7"/>
    <s v="TR6998"/>
    <s v="Parking"/>
    <n v="200"/>
    <s v="A"/>
    <x v="6"/>
    <d v="2011-03-10T00:00:00"/>
  </r>
  <r>
    <x v="6"/>
    <x v="8"/>
    <s v="Transfer"/>
    <s v="Inter Account Transfer"/>
    <n v="-15000"/>
    <s v="E"/>
    <x v="7"/>
    <d v="2011-03-20T00:00:00"/>
  </r>
  <r>
    <x v="6"/>
    <x v="8"/>
    <s v="Transfer"/>
    <s v="Inter Account Transfer"/>
    <n v="15000"/>
    <s v="E"/>
    <x v="8"/>
    <d v="2011-03-20T00:00:00"/>
  </r>
  <r>
    <x v="7"/>
    <x v="8"/>
    <s v="Payroll"/>
    <s v="Salaries"/>
    <n v="13000"/>
    <s v="E"/>
    <x v="8"/>
    <d v="2011-03-25T00:00:00"/>
  </r>
  <r>
    <x v="8"/>
    <x v="9"/>
    <s v="Debit Order"/>
    <s v="Capital repayment"/>
    <n v="220"/>
    <s v="E"/>
    <x v="0"/>
    <d v="2011-03-26T00:00:00"/>
  </r>
  <r>
    <x v="8"/>
    <x v="9"/>
    <s v="Debit Order"/>
    <s v="Interest paid"/>
    <n v="100"/>
    <s v="E"/>
    <x v="0"/>
    <d v="2011-03-26T00:00:00"/>
  </r>
  <r>
    <x v="8"/>
    <x v="10"/>
    <s v="Debit Order"/>
    <s v="Rent"/>
    <n v="6400"/>
    <s v="E"/>
    <x v="6"/>
    <d v="2011-03-26T00:00:00"/>
  </r>
  <r>
    <x v="9"/>
    <x v="8"/>
    <s v="Bank Statement"/>
    <s v="Petty Cash Reimbursement"/>
    <n v="100"/>
    <s v="E"/>
    <x v="7"/>
    <d v="2011-03-31T00:00:00"/>
  </r>
  <r>
    <x v="9"/>
    <x v="8"/>
    <s v="Bank Statement"/>
    <s v="Petty Cash Reimbursement"/>
    <n v="100"/>
    <s v="E"/>
    <x v="7"/>
    <d v="2011-03-31T00:00:00"/>
  </r>
  <r>
    <x v="10"/>
    <x v="1"/>
    <s v="Invoice EXP23"/>
    <s v="Internet Service Provider"/>
    <n v="179"/>
    <s v="A"/>
    <x v="1"/>
    <d v="2011-04-05T00:00:00"/>
  </r>
  <r>
    <x v="11"/>
    <x v="3"/>
    <s v="Debit Order"/>
    <s v="Insurance"/>
    <n v="340"/>
    <s v="A"/>
    <x v="3"/>
    <d v="2011-04-05T00:00:00"/>
  </r>
  <r>
    <x v="11"/>
    <x v="6"/>
    <s v="Cash"/>
    <s v="Flowers"/>
    <n v="87"/>
    <s v="A"/>
    <x v="6"/>
    <d v="2011-04-05T00:00:00"/>
  </r>
  <r>
    <x v="11"/>
    <x v="4"/>
    <s v="Bank Statement"/>
    <s v="Service Fees"/>
    <n v="35"/>
    <s v="A"/>
    <x v="4"/>
    <d v="2011-04-05T00:00:00"/>
  </r>
  <r>
    <x v="12"/>
    <x v="5"/>
    <s v="Invoice"/>
    <s v="Bookkeeping"/>
    <n v="1000"/>
    <s v="A"/>
    <x v="5"/>
    <d v="2011-04-15T00:00:00"/>
  </r>
  <r>
    <x v="13"/>
    <x v="8"/>
    <s v="Transfer"/>
    <s v="Inter Account Transfer"/>
    <n v="-20000"/>
    <s v="E"/>
    <x v="7"/>
    <d v="2011-04-20T00:00:00"/>
  </r>
  <r>
    <x v="13"/>
    <x v="8"/>
    <s v="Transfer"/>
    <s v="Inter Account Transfer"/>
    <n v="20000"/>
    <s v="E"/>
    <x v="8"/>
    <d v="2011-04-20T00:00:00"/>
  </r>
  <r>
    <x v="14"/>
    <x v="11"/>
    <s v="Return"/>
    <s v="Sales Tax"/>
    <n v="3000"/>
    <s v="A"/>
    <x v="6"/>
    <d v="2011-04-21T00:00:00"/>
  </r>
  <r>
    <x v="15"/>
    <x v="8"/>
    <s v="Payroll"/>
    <s v="Salaries"/>
    <n v="20000"/>
    <s v="E"/>
    <x v="8"/>
    <d v="2011-04-25T00:00:00"/>
  </r>
  <r>
    <x v="16"/>
    <x v="12"/>
    <s v="Invoice"/>
    <s v="Furniture"/>
    <n v="3000"/>
    <s v="A"/>
    <x v="6"/>
    <d v="2011-05-26T00:00:00"/>
  </r>
  <r>
    <x v="16"/>
    <x v="9"/>
    <s v="Debit Order"/>
    <s v="Capital repayment"/>
    <n v="220"/>
    <s v="E"/>
    <x v="0"/>
    <d v="2011-04-26T00:00:00"/>
  </r>
  <r>
    <x v="16"/>
    <x v="9"/>
    <s v="Debit Order"/>
    <s v="Interest paid"/>
    <n v="100"/>
    <s v="E"/>
    <x v="0"/>
    <d v="2011-04-26T00:00:00"/>
  </r>
  <r>
    <x v="16"/>
    <x v="10"/>
    <s v="Debit Order"/>
    <s v="Rent"/>
    <n v="6400"/>
    <s v="E"/>
    <x v="6"/>
    <d v="2011-04-26T00:00:00"/>
  </r>
  <r>
    <x v="17"/>
    <x v="13"/>
    <n v="111799"/>
    <s v="Consumables"/>
    <n v="610"/>
    <s v="A"/>
    <x v="9"/>
    <d v="2011-04-30T00:00:00"/>
  </r>
  <r>
    <x v="17"/>
    <x v="8"/>
    <s v="Bank Statement"/>
    <s v="Petty Cash Reimbursement"/>
    <n v="100"/>
    <s v="E"/>
    <x v="7"/>
    <d v="2011-04-30T00:00:00"/>
  </r>
  <r>
    <x v="17"/>
    <x v="8"/>
    <s v="Bank Statement"/>
    <s v="Petty Cash Reimbursement"/>
    <n v="100"/>
    <s v="E"/>
    <x v="7"/>
    <d v="2011-04-30T00:00:00"/>
  </r>
  <r>
    <x v="18"/>
    <x v="1"/>
    <s v="Invoice EXP24"/>
    <s v="Internet Service Provider"/>
    <n v="179"/>
    <s v="A"/>
    <x v="1"/>
    <d v="2011-05-05T00:00:00"/>
  </r>
  <r>
    <x v="18"/>
    <x v="14"/>
    <s v="Invoice"/>
    <s v="Course"/>
    <n v="270"/>
    <s v="A"/>
    <x v="6"/>
    <d v="2011-05-05T00:00:00"/>
  </r>
  <r>
    <x v="19"/>
    <x v="3"/>
    <s v="Debit Order"/>
    <s v="Insurance"/>
    <n v="340"/>
    <s v="A"/>
    <x v="3"/>
    <d v="2011-05-05T00:00:00"/>
  </r>
  <r>
    <x v="20"/>
    <x v="15"/>
    <s v="S50037"/>
    <s v="Accommodation"/>
    <n v="563"/>
    <s v="A"/>
    <x v="6"/>
    <d v="2011-05-07T00:00:00"/>
  </r>
  <r>
    <x v="21"/>
    <x v="16"/>
    <s v="Invoice"/>
    <s v="Stationery"/>
    <n v="163"/>
    <s v="A"/>
    <x v="6"/>
    <d v="2011-05-10T00:00:00"/>
  </r>
  <r>
    <x v="22"/>
    <x v="4"/>
    <s v="Bank Statement"/>
    <s v="Service Fees"/>
    <n v="86"/>
    <s v="A"/>
    <x v="4"/>
    <d v="2011-05-15T00:00:00"/>
  </r>
  <r>
    <x v="22"/>
    <x v="4"/>
    <s v="Bank Statement"/>
    <s v="Service Fees"/>
    <n v="35"/>
    <s v="A"/>
    <x v="4"/>
    <d v="2011-05-15T00:00:00"/>
  </r>
  <r>
    <x v="23"/>
    <x v="5"/>
    <s v="Invoice"/>
    <s v="Bookkeeping"/>
    <n v="1000"/>
    <s v="A"/>
    <x v="5"/>
    <d v="2011-05-20T00:00:00"/>
  </r>
  <r>
    <x v="23"/>
    <x v="8"/>
    <s v="Transfer"/>
    <s v="Inter Account Transfer"/>
    <n v="-20000"/>
    <s v="E"/>
    <x v="7"/>
    <d v="2011-05-20T00:00:00"/>
  </r>
  <r>
    <x v="23"/>
    <x v="8"/>
    <s v="Transfer"/>
    <s v="Inter Account Transfer"/>
    <n v="20000"/>
    <s v="E"/>
    <x v="8"/>
    <d v="2011-05-20T00:00:00"/>
  </r>
  <r>
    <x v="24"/>
    <x v="8"/>
    <s v="Payroll"/>
    <s v="Salaries"/>
    <n v="20000"/>
    <s v="E"/>
    <x v="8"/>
    <d v="2011-05-25T00:00:00"/>
  </r>
  <r>
    <x v="25"/>
    <x v="9"/>
    <s v="Debit Order"/>
    <s v="Capital repayment"/>
    <n v="220"/>
    <s v="E"/>
    <x v="0"/>
    <d v="2011-05-26T00:00:00"/>
  </r>
  <r>
    <x v="25"/>
    <x v="9"/>
    <s v="Debit Order"/>
    <s v="Interest paid"/>
    <n v="100"/>
    <s v="E"/>
    <x v="0"/>
    <d v="2011-05-26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4024E6-B3FF-43CF-BAD4-BF2AC90BD25A}" name="PivotTable1" cacheId="1" applyNumberFormats="0" applyBorderFormats="0" applyFontFormats="0" applyPatternFormats="0" applyAlignmentFormats="0" applyWidthHeightFormats="1" dataCaption="Values" updatedVersion="8" minRefreshableVersion="3" showDrill="0" useAutoFormatting="1" itemPrintTitles="1" createdVersion="8" indent="0" compact="0" compactData="0" multipleFieldFilters="0">
  <location ref="A1:C13" firstHeaderRow="1" firstDataRow="1" firstDataCol="2"/>
  <pivotFields count="10">
    <pivotField compact="0" numFmtId="14" outline="0" showAll="0" defaultSubtotal="0">
      <items count="26">
        <item x="1"/>
        <item x="10"/>
        <item x="18"/>
        <item x="0"/>
        <item x="6"/>
        <item x="7"/>
        <item x="8"/>
        <item x="9"/>
        <item x="12"/>
        <item x="13"/>
        <item x="14"/>
        <item x="15"/>
        <item x="16"/>
        <item x="17"/>
        <item x="2"/>
        <item x="11"/>
        <item x="19"/>
        <item x="22"/>
        <item x="23"/>
        <item x="24"/>
        <item x="25"/>
        <item x="3"/>
        <item x="20"/>
        <item x="4"/>
        <item x="5"/>
        <item x="21"/>
      </items>
    </pivotField>
    <pivotField axis="axisRow" compact="0" outline="0" showAll="0" defaultSubtotal="0">
      <items count="17">
        <item x="5"/>
        <item x="4"/>
        <item x="15"/>
        <item x="3"/>
        <item x="8"/>
        <item x="12"/>
        <item x="13"/>
        <item x="9"/>
        <item x="11"/>
        <item x="6"/>
        <item x="1"/>
        <item x="2"/>
        <item x="10"/>
        <item x="7"/>
        <item x="14"/>
        <item x="16"/>
        <item x="0"/>
      </items>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items count="10">
        <item h="1" x="0"/>
        <item h="1" x="4"/>
        <item h="1" x="8"/>
        <item h="1" x="7"/>
        <item h="1" x="1"/>
        <item h="1" x="5"/>
        <item h="1" x="3"/>
        <item h="1" x="9"/>
        <item x="2"/>
        <item x="6"/>
      </items>
    </pivotField>
    <pivotField compact="0" numFmtId="14" outline="0" showAll="0" defaultSubtotal="0"/>
    <pivotField axis="axisRow" compact="0" outline="0"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compact="0" outline="0" showAll="0" defaultSubtotal="0">
      <items count="14">
        <item x="0"/>
        <item x="1"/>
        <item x="2"/>
        <item x="3"/>
        <item x="4"/>
        <item x="5"/>
        <item x="6"/>
        <item x="7"/>
        <item x="8"/>
        <item x="9"/>
        <item x="10"/>
        <item x="11"/>
        <item x="12"/>
        <item x="13"/>
      </items>
    </pivotField>
  </pivotFields>
  <rowFields count="2">
    <field x="8"/>
    <field x="1"/>
  </rowFields>
  <rowItems count="12">
    <i>
      <x v="5"/>
      <x v="14"/>
    </i>
    <i>
      <x v="86"/>
      <x v="12"/>
    </i>
    <i>
      <x v="112"/>
      <x v="8"/>
    </i>
    <i>
      <x v="117"/>
      <x v="5"/>
    </i>
    <i r="1">
      <x v="12"/>
    </i>
    <i>
      <x v="124"/>
      <x v="11"/>
    </i>
    <i>
      <x v="125"/>
      <x v="9"/>
    </i>
    <i>
      <x v="187"/>
      <x v="2"/>
    </i>
    <i>
      <x v="216"/>
      <x v="9"/>
    </i>
    <i>
      <x v="277"/>
      <x v="13"/>
    </i>
    <i>
      <x v="279"/>
      <x v="15"/>
    </i>
    <i t="grand">
      <x/>
    </i>
  </rowItems>
  <colItems count="1">
    <i/>
  </colItems>
  <dataFields count="1">
    <dataField name="Tax Amount" fld="4" baseField="1" baseItem="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959CC96-CF4E-4B41-9373-AD0329917105}" autoFormatId="16" applyNumberFormats="0" applyBorderFormats="0" applyFontFormats="0" applyPatternFormats="0" applyAlignmentFormats="0" applyWidthHeightFormats="0">
  <queryTableRefresh nextId="9">
    <queryTableFields count="8">
      <queryTableField id="1" name="Document Date" tableColumnId="1"/>
      <queryTableField id="2" name="Supplier" tableColumnId="2"/>
      <queryTableField id="3" name="Reference" tableColumnId="3"/>
      <queryTableField id="4" name="Description" tableColumnId="4"/>
      <queryTableField id="5" name="Tax Inclusive Amount" tableColumnId="5"/>
      <queryTableField id="6" name="Tax Code" tableColumnId="6"/>
      <queryTableField id="7" name="Account Code" tableColumnId="7"/>
      <queryTableField id="8" name="Payment Date"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Code" xr10:uid="{307D5BFE-6854-4724-849B-70689E91A6AF}" sourceName="Account Code">
  <pivotTables>
    <pivotTable tabId="3" name="PivotTable1"/>
  </pivotTables>
  <data>
    <tabular pivotCacheId="473048262">
      <items count="10">
        <i x="0"/>
        <i x="4"/>
        <i x="8"/>
        <i x="7"/>
        <i x="1"/>
        <i x="5"/>
        <i x="3"/>
        <i x="9"/>
        <i x="2"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 Code" xr10:uid="{4FE36FCD-FE2B-4853-BB18-5DE6D86E72C6}" cache="Slicer_Account_Code" caption="Account Code" startItem="3"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8BBA5F0-CF41-4CBA-B8AF-C56EAF1C0484}" name="Table1_1" displayName="Table1_1" ref="A1:H47" tableType="queryTable" totalsRowShown="0">
  <autoFilter ref="A1:H47" xr:uid="{78BBA5F0-CF41-4CBA-B8AF-C56EAF1C0484}"/>
  <tableColumns count="8">
    <tableColumn id="1" xr3:uid="{41F3BD7F-C696-497B-B10B-FEFE682ABD5F}" uniqueName="1" name="Document Date" queryTableFieldId="1" dataDxfId="9"/>
    <tableColumn id="2" xr3:uid="{75ADCC5D-EC27-4213-A6EC-40634C38A7C5}" uniqueName="2" name="Supplier" queryTableFieldId="2" dataDxfId="8"/>
    <tableColumn id="3" xr3:uid="{D90CC8A1-3D17-4FBA-B319-CAB826CA0BEA}" uniqueName="3" name="Reference" queryTableFieldId="3"/>
    <tableColumn id="4" xr3:uid="{8359CB8A-0A0D-41CE-B86C-162C80C6458E}" uniqueName="4" name="Description" queryTableFieldId="4" dataDxfId="7"/>
    <tableColumn id="5" xr3:uid="{94E575C3-1B93-49D1-A05E-3EE7E4CBD456}" uniqueName="5" name="Tax Inclusive Amount" queryTableFieldId="5"/>
    <tableColumn id="6" xr3:uid="{667447A5-F551-4DA5-9789-7EE88BA124C0}" uniqueName="6" name="Tax Code" queryTableFieldId="6" dataDxfId="6"/>
    <tableColumn id="7" xr3:uid="{72C575B1-A12B-48A0-9DCF-EBC668AED72E}" uniqueName="7" name="Account Code" queryTableFieldId="7" dataDxfId="5"/>
    <tableColumn id="8" xr3:uid="{95B253DC-07C1-4C77-8847-CFA3FDE8BB9F}" uniqueName="8" name="Payment Date" queryTableFieldId="8" dataDxfId="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749A4DA-3D41-45A6-823A-7E58FDC68005}" name="Table1" displayName="Table1" ref="A1:H47" totalsRowShown="0" headerRowDxfId="3">
  <autoFilter ref="A1:H47" xr:uid="{1749A4DA-3D41-45A6-823A-7E58FDC68005}"/>
  <tableColumns count="8">
    <tableColumn id="1" xr3:uid="{204CB708-B09A-4175-91A1-87D0A8AF3584}" name="Document name" dataDxfId="2"/>
    <tableColumn id="2" xr3:uid="{A445ED9D-9D8D-467E-B96D-6F9A2C360A39}" name="Supplier"/>
    <tableColumn id="3" xr3:uid="{E0A18FA3-11E7-4703-A06B-D3A4664921B4}" name="Reference"/>
    <tableColumn id="4" xr3:uid="{E78DEC47-EFA3-429B-9109-B8941B2F6057}" name="Description"/>
    <tableColumn id="5" xr3:uid="{954FCD64-CE2B-4637-87C9-857153749C84}" name="Tax Inclusive Amount" dataDxfId="1"/>
    <tableColumn id="6" xr3:uid="{A88295C3-EE4E-4746-863C-0DDCF9C5AF76}" name="Tax Code"/>
    <tableColumn id="7" xr3:uid="{4E83326A-13C4-481C-AC4F-FD349A5C0AC8}" name="Account Code"/>
    <tableColumn id="8" xr3:uid="{50F6C750-D0A8-41E0-B92D-8DE3C7E9FBED}" name="Payment D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155AD-E9B0-411D-B012-A4F1F2CFEBC2}">
  <dimension ref="A1:H47"/>
  <sheetViews>
    <sheetView workbookViewId="0">
      <selection activeCell="B15" sqref="B15"/>
    </sheetView>
  </sheetViews>
  <sheetFormatPr defaultRowHeight="14.4" x14ac:dyDescent="0.3"/>
  <cols>
    <col min="1" max="1" width="16.44140625" bestFit="1" customWidth="1"/>
    <col min="2" max="2" width="16.6640625" bestFit="1" customWidth="1"/>
    <col min="3" max="3" width="14" bestFit="1" customWidth="1"/>
    <col min="4" max="4" width="23.109375" bestFit="1" customWidth="1"/>
    <col min="5" max="5" width="21.44140625" bestFit="1" customWidth="1"/>
    <col min="6" max="6" width="10.88671875" bestFit="1" customWidth="1"/>
    <col min="7" max="7" width="15" bestFit="1" customWidth="1"/>
    <col min="8" max="8" width="15.109375" bestFit="1" customWidth="1"/>
  </cols>
  <sheetData>
    <row r="1" spans="1:8" x14ac:dyDescent="0.3">
      <c r="A1" t="s">
        <v>0</v>
      </c>
      <c r="B1" t="s">
        <v>1</v>
      </c>
      <c r="C1" t="s">
        <v>2</v>
      </c>
      <c r="D1" t="s">
        <v>3</v>
      </c>
      <c r="E1" t="s">
        <v>4</v>
      </c>
      <c r="F1" t="s">
        <v>70</v>
      </c>
      <c r="G1" t="s">
        <v>5</v>
      </c>
      <c r="H1" t="s">
        <v>6</v>
      </c>
    </row>
    <row r="2" spans="1:8" x14ac:dyDescent="0.3">
      <c r="A2" s="1">
        <v>40588</v>
      </c>
      <c r="B2" t="s">
        <v>7</v>
      </c>
      <c r="C2" t="s">
        <v>69</v>
      </c>
      <c r="D2" t="s">
        <v>8</v>
      </c>
      <c r="E2">
        <v>5100</v>
      </c>
      <c r="F2" t="s">
        <v>9</v>
      </c>
      <c r="G2" t="s">
        <v>10</v>
      </c>
      <c r="H2" s="1">
        <v>40604</v>
      </c>
    </row>
    <row r="3" spans="1:8" x14ac:dyDescent="0.3">
      <c r="A3" s="1">
        <v>40546</v>
      </c>
      <c r="B3" t="s">
        <v>11</v>
      </c>
      <c r="C3" t="s">
        <v>12</v>
      </c>
      <c r="D3" t="s">
        <v>13</v>
      </c>
      <c r="E3">
        <v>179</v>
      </c>
      <c r="F3" t="s">
        <v>9</v>
      </c>
      <c r="G3" t="s">
        <v>14</v>
      </c>
      <c r="H3" s="1">
        <v>40607</v>
      </c>
    </row>
    <row r="4" spans="1:8" x14ac:dyDescent="0.3">
      <c r="A4" s="1">
        <v>40666</v>
      </c>
      <c r="B4" t="s">
        <v>15</v>
      </c>
      <c r="C4">
        <v>813119</v>
      </c>
      <c r="D4" t="s">
        <v>16</v>
      </c>
      <c r="E4">
        <v>478</v>
      </c>
      <c r="F4" t="s">
        <v>9</v>
      </c>
      <c r="G4" t="s">
        <v>17</v>
      </c>
      <c r="H4" s="1">
        <v>40617</v>
      </c>
    </row>
    <row r="5" spans="1:8" x14ac:dyDescent="0.3">
      <c r="A5" s="1">
        <v>40666</v>
      </c>
      <c r="B5" t="s">
        <v>18</v>
      </c>
      <c r="C5" t="s">
        <v>19</v>
      </c>
      <c r="D5" t="s">
        <v>20</v>
      </c>
      <c r="E5">
        <v>340</v>
      </c>
      <c r="F5" t="s">
        <v>9</v>
      </c>
      <c r="G5" t="s">
        <v>21</v>
      </c>
      <c r="H5" s="1">
        <v>40607</v>
      </c>
    </row>
    <row r="6" spans="1:8" x14ac:dyDescent="0.3">
      <c r="A6" s="1">
        <v>40666</v>
      </c>
      <c r="B6" t="s">
        <v>22</v>
      </c>
      <c r="C6" t="s">
        <v>23</v>
      </c>
      <c r="D6" t="s">
        <v>24</v>
      </c>
      <c r="E6">
        <v>35</v>
      </c>
      <c r="F6" t="s">
        <v>9</v>
      </c>
      <c r="G6" t="s">
        <v>25</v>
      </c>
      <c r="H6" s="1">
        <v>40607</v>
      </c>
    </row>
    <row r="7" spans="1:8" x14ac:dyDescent="0.3">
      <c r="A7" s="1">
        <v>40727</v>
      </c>
      <c r="B7" t="s">
        <v>22</v>
      </c>
      <c r="C7" t="s">
        <v>23</v>
      </c>
      <c r="D7" t="s">
        <v>24</v>
      </c>
      <c r="E7">
        <v>86</v>
      </c>
      <c r="F7" t="s">
        <v>9</v>
      </c>
      <c r="G7" t="s">
        <v>25</v>
      </c>
      <c r="H7" s="1">
        <v>40609</v>
      </c>
    </row>
    <row r="8" spans="1:8" x14ac:dyDescent="0.3">
      <c r="A8" s="1">
        <v>40758</v>
      </c>
      <c r="B8" t="s">
        <v>26</v>
      </c>
      <c r="C8" t="s">
        <v>27</v>
      </c>
      <c r="D8" t="s">
        <v>28</v>
      </c>
      <c r="E8">
        <v>1000</v>
      </c>
      <c r="F8" t="s">
        <v>9</v>
      </c>
      <c r="G8" t="s">
        <v>29</v>
      </c>
      <c r="H8" s="1">
        <v>40638</v>
      </c>
    </row>
    <row r="9" spans="1:8" x14ac:dyDescent="0.3">
      <c r="A9" s="1">
        <v>40758</v>
      </c>
      <c r="B9" t="s">
        <v>30</v>
      </c>
      <c r="C9" t="s">
        <v>31</v>
      </c>
      <c r="D9" t="s">
        <v>32</v>
      </c>
      <c r="E9">
        <v>106</v>
      </c>
      <c r="F9" t="s">
        <v>9</v>
      </c>
      <c r="G9" t="s">
        <v>33</v>
      </c>
      <c r="H9" s="1">
        <v>40610</v>
      </c>
    </row>
    <row r="10" spans="1:8" x14ac:dyDescent="0.3">
      <c r="A10" s="1">
        <v>40819</v>
      </c>
      <c r="B10" t="s">
        <v>34</v>
      </c>
      <c r="C10" t="s">
        <v>35</v>
      </c>
      <c r="D10" t="s">
        <v>36</v>
      </c>
      <c r="E10">
        <v>200</v>
      </c>
      <c r="F10" t="s">
        <v>9</v>
      </c>
      <c r="G10" t="s">
        <v>33</v>
      </c>
      <c r="H10" s="1">
        <v>40612</v>
      </c>
    </row>
    <row r="11" spans="1:8" x14ac:dyDescent="0.3">
      <c r="A11" s="1">
        <v>40622</v>
      </c>
      <c r="B11" t="s">
        <v>37</v>
      </c>
      <c r="C11" t="s">
        <v>38</v>
      </c>
      <c r="D11" t="s">
        <v>39</v>
      </c>
      <c r="E11">
        <v>-15000</v>
      </c>
      <c r="F11" t="s">
        <v>40</v>
      </c>
      <c r="G11" t="s">
        <v>41</v>
      </c>
      <c r="H11" s="1">
        <v>40622</v>
      </c>
    </row>
    <row r="12" spans="1:8" x14ac:dyDescent="0.3">
      <c r="A12" s="1">
        <v>40622</v>
      </c>
      <c r="B12" t="s">
        <v>37</v>
      </c>
      <c r="C12" t="s">
        <v>38</v>
      </c>
      <c r="D12" t="s">
        <v>39</v>
      </c>
      <c r="E12">
        <v>15000</v>
      </c>
      <c r="F12" t="s">
        <v>40</v>
      </c>
      <c r="G12" t="s">
        <v>42</v>
      </c>
      <c r="H12" s="1">
        <v>40622</v>
      </c>
    </row>
    <row r="13" spans="1:8" x14ac:dyDescent="0.3">
      <c r="A13" s="1">
        <v>40627</v>
      </c>
      <c r="B13" t="s">
        <v>37</v>
      </c>
      <c r="C13" t="s">
        <v>43</v>
      </c>
      <c r="D13" t="s">
        <v>44</v>
      </c>
      <c r="E13">
        <v>13000</v>
      </c>
      <c r="F13" t="s">
        <v>40</v>
      </c>
      <c r="G13" t="s">
        <v>42</v>
      </c>
      <c r="H13" s="1">
        <v>40627</v>
      </c>
    </row>
    <row r="14" spans="1:8" x14ac:dyDescent="0.3">
      <c r="A14" s="1">
        <v>40628</v>
      </c>
      <c r="B14" t="s">
        <v>45</v>
      </c>
      <c r="C14" t="s">
        <v>19</v>
      </c>
      <c r="D14" t="s">
        <v>46</v>
      </c>
      <c r="E14">
        <v>220</v>
      </c>
      <c r="F14" t="s">
        <v>40</v>
      </c>
      <c r="G14" t="s">
        <v>10</v>
      </c>
      <c r="H14" s="1">
        <v>40628</v>
      </c>
    </row>
    <row r="15" spans="1:8" x14ac:dyDescent="0.3">
      <c r="A15" s="1">
        <v>40628</v>
      </c>
      <c r="B15" t="s">
        <v>45</v>
      </c>
      <c r="C15" t="s">
        <v>19</v>
      </c>
      <c r="D15" t="s">
        <v>47</v>
      </c>
      <c r="E15">
        <v>100</v>
      </c>
      <c r="F15" t="s">
        <v>40</v>
      </c>
      <c r="G15" t="s">
        <v>10</v>
      </c>
      <c r="H15" s="1">
        <v>40628</v>
      </c>
    </row>
    <row r="16" spans="1:8" x14ac:dyDescent="0.3">
      <c r="A16" s="1">
        <v>40628</v>
      </c>
      <c r="B16" t="s">
        <v>48</v>
      </c>
      <c r="C16" t="s">
        <v>19</v>
      </c>
      <c r="D16" t="s">
        <v>49</v>
      </c>
      <c r="E16">
        <v>6400</v>
      </c>
      <c r="F16" t="s">
        <v>40</v>
      </c>
      <c r="G16" t="s">
        <v>33</v>
      </c>
      <c r="H16" s="1">
        <v>40628</v>
      </c>
    </row>
    <row r="17" spans="1:8" x14ac:dyDescent="0.3">
      <c r="A17" s="1">
        <v>40633</v>
      </c>
      <c r="B17" t="s">
        <v>37</v>
      </c>
      <c r="C17" t="s">
        <v>23</v>
      </c>
      <c r="D17" t="s">
        <v>50</v>
      </c>
      <c r="E17">
        <v>100</v>
      </c>
      <c r="F17" t="s">
        <v>40</v>
      </c>
      <c r="G17" t="s">
        <v>41</v>
      </c>
      <c r="H17" s="1">
        <v>40633</v>
      </c>
    </row>
    <row r="18" spans="1:8" x14ac:dyDescent="0.3">
      <c r="A18" s="1">
        <v>40633</v>
      </c>
      <c r="B18" t="s">
        <v>37</v>
      </c>
      <c r="C18" t="s">
        <v>23</v>
      </c>
      <c r="D18" t="s">
        <v>50</v>
      </c>
      <c r="E18">
        <v>100</v>
      </c>
      <c r="F18" t="s">
        <v>40</v>
      </c>
      <c r="G18" t="s">
        <v>41</v>
      </c>
      <c r="H18" s="1">
        <v>40633</v>
      </c>
    </row>
    <row r="19" spans="1:8" x14ac:dyDescent="0.3">
      <c r="A19" s="1">
        <v>40547</v>
      </c>
      <c r="B19" t="s">
        <v>11</v>
      </c>
      <c r="C19" t="s">
        <v>51</v>
      </c>
      <c r="D19" t="s">
        <v>13</v>
      </c>
      <c r="E19">
        <v>179</v>
      </c>
      <c r="F19" t="s">
        <v>9</v>
      </c>
      <c r="G19" t="s">
        <v>14</v>
      </c>
      <c r="H19" s="1">
        <v>40638</v>
      </c>
    </row>
    <row r="20" spans="1:8" x14ac:dyDescent="0.3">
      <c r="A20" s="1">
        <v>40667</v>
      </c>
      <c r="B20" t="s">
        <v>18</v>
      </c>
      <c r="C20" t="s">
        <v>19</v>
      </c>
      <c r="D20" t="s">
        <v>20</v>
      </c>
      <c r="E20">
        <v>340</v>
      </c>
      <c r="F20" t="s">
        <v>9</v>
      </c>
      <c r="G20" t="s">
        <v>21</v>
      </c>
      <c r="H20" s="1">
        <v>40638</v>
      </c>
    </row>
    <row r="21" spans="1:8" x14ac:dyDescent="0.3">
      <c r="A21" s="1">
        <v>40667</v>
      </c>
      <c r="B21" t="s">
        <v>30</v>
      </c>
      <c r="C21" t="s">
        <v>31</v>
      </c>
      <c r="D21" t="s">
        <v>32</v>
      </c>
      <c r="E21">
        <v>87</v>
      </c>
      <c r="F21" t="s">
        <v>9</v>
      </c>
      <c r="G21" t="s">
        <v>33</v>
      </c>
      <c r="H21" s="1">
        <v>40638</v>
      </c>
    </row>
    <row r="22" spans="1:8" x14ac:dyDescent="0.3">
      <c r="A22" s="1">
        <v>40667</v>
      </c>
      <c r="B22" t="s">
        <v>22</v>
      </c>
      <c r="C22" t="s">
        <v>23</v>
      </c>
      <c r="D22" t="s">
        <v>24</v>
      </c>
      <c r="E22">
        <v>35</v>
      </c>
      <c r="F22" t="s">
        <v>9</v>
      </c>
      <c r="G22" t="s">
        <v>25</v>
      </c>
      <c r="H22" s="1">
        <v>40638</v>
      </c>
    </row>
    <row r="23" spans="1:8" x14ac:dyDescent="0.3">
      <c r="A23" s="1">
        <v>40648</v>
      </c>
      <c r="B23" t="s">
        <v>26</v>
      </c>
      <c r="C23" t="s">
        <v>27</v>
      </c>
      <c r="D23" t="s">
        <v>28</v>
      </c>
      <c r="E23">
        <v>1000</v>
      </c>
      <c r="F23" t="s">
        <v>9</v>
      </c>
      <c r="G23" t="s">
        <v>29</v>
      </c>
      <c r="H23" s="1">
        <v>40648</v>
      </c>
    </row>
    <row r="24" spans="1:8" x14ac:dyDescent="0.3">
      <c r="A24" s="1">
        <v>40653</v>
      </c>
      <c r="B24" t="s">
        <v>37</v>
      </c>
      <c r="C24" t="s">
        <v>38</v>
      </c>
      <c r="D24" t="s">
        <v>39</v>
      </c>
      <c r="E24">
        <v>-20000</v>
      </c>
      <c r="F24" t="s">
        <v>40</v>
      </c>
      <c r="G24" t="s">
        <v>41</v>
      </c>
      <c r="H24" s="1">
        <v>40653</v>
      </c>
    </row>
    <row r="25" spans="1:8" x14ac:dyDescent="0.3">
      <c r="A25" s="1">
        <v>40653</v>
      </c>
      <c r="B25" t="s">
        <v>37</v>
      </c>
      <c r="C25" t="s">
        <v>38</v>
      </c>
      <c r="D25" t="s">
        <v>39</v>
      </c>
      <c r="E25">
        <v>20000</v>
      </c>
      <c r="F25" t="s">
        <v>40</v>
      </c>
      <c r="G25" t="s">
        <v>42</v>
      </c>
      <c r="H25" s="1">
        <v>40653</v>
      </c>
    </row>
    <row r="26" spans="1:8" x14ac:dyDescent="0.3">
      <c r="A26" s="1">
        <v>40654</v>
      </c>
      <c r="B26" t="s">
        <v>52</v>
      </c>
      <c r="C26" t="s">
        <v>53</v>
      </c>
      <c r="D26" t="s">
        <v>54</v>
      </c>
      <c r="E26">
        <v>3000</v>
      </c>
      <c r="F26" t="s">
        <v>9</v>
      </c>
      <c r="G26" t="s">
        <v>33</v>
      </c>
      <c r="H26" s="1">
        <v>40654</v>
      </c>
    </row>
    <row r="27" spans="1:8" x14ac:dyDescent="0.3">
      <c r="A27" s="1">
        <v>40658</v>
      </c>
      <c r="B27" t="s">
        <v>37</v>
      </c>
      <c r="C27" t="s">
        <v>43</v>
      </c>
      <c r="D27" t="s">
        <v>44</v>
      </c>
      <c r="E27">
        <v>20000</v>
      </c>
      <c r="F27" t="s">
        <v>40</v>
      </c>
      <c r="G27" t="s">
        <v>42</v>
      </c>
      <c r="H27" s="1">
        <v>40658</v>
      </c>
    </row>
    <row r="28" spans="1:8" x14ac:dyDescent="0.3">
      <c r="A28" s="1">
        <v>40659</v>
      </c>
      <c r="B28" t="s">
        <v>55</v>
      </c>
      <c r="C28" t="s">
        <v>27</v>
      </c>
      <c r="D28" t="s">
        <v>56</v>
      </c>
      <c r="E28">
        <v>3000</v>
      </c>
      <c r="F28" t="s">
        <v>9</v>
      </c>
      <c r="G28" t="s">
        <v>33</v>
      </c>
      <c r="H28" s="1">
        <v>40689</v>
      </c>
    </row>
    <row r="29" spans="1:8" x14ac:dyDescent="0.3">
      <c r="A29" s="1">
        <v>40659</v>
      </c>
      <c r="B29" t="s">
        <v>45</v>
      </c>
      <c r="C29" t="s">
        <v>19</v>
      </c>
      <c r="D29" t="s">
        <v>46</v>
      </c>
      <c r="E29">
        <v>220</v>
      </c>
      <c r="F29" t="s">
        <v>40</v>
      </c>
      <c r="G29" t="s">
        <v>10</v>
      </c>
      <c r="H29" s="1">
        <v>40659</v>
      </c>
    </row>
    <row r="30" spans="1:8" x14ac:dyDescent="0.3">
      <c r="A30" s="1">
        <v>40659</v>
      </c>
      <c r="B30" t="s">
        <v>45</v>
      </c>
      <c r="C30" t="s">
        <v>19</v>
      </c>
      <c r="D30" t="s">
        <v>47</v>
      </c>
      <c r="E30">
        <v>100</v>
      </c>
      <c r="F30" t="s">
        <v>40</v>
      </c>
      <c r="G30" t="s">
        <v>10</v>
      </c>
      <c r="H30" s="1">
        <v>40659</v>
      </c>
    </row>
    <row r="31" spans="1:8" x14ac:dyDescent="0.3">
      <c r="A31" s="1">
        <v>40659</v>
      </c>
      <c r="B31" t="s">
        <v>48</v>
      </c>
      <c r="C31" t="s">
        <v>19</v>
      </c>
      <c r="D31" t="s">
        <v>49</v>
      </c>
      <c r="E31">
        <v>6400</v>
      </c>
      <c r="F31" t="s">
        <v>40</v>
      </c>
      <c r="G31" t="s">
        <v>33</v>
      </c>
      <c r="H31" s="1">
        <v>40659</v>
      </c>
    </row>
    <row r="32" spans="1:8" x14ac:dyDescent="0.3">
      <c r="A32" s="1">
        <v>40663</v>
      </c>
      <c r="B32" t="s">
        <v>57</v>
      </c>
      <c r="C32">
        <v>111799</v>
      </c>
      <c r="D32" t="s">
        <v>58</v>
      </c>
      <c r="E32">
        <v>610</v>
      </c>
      <c r="F32" t="s">
        <v>9</v>
      </c>
      <c r="G32" t="s">
        <v>59</v>
      </c>
      <c r="H32" s="1">
        <v>40663</v>
      </c>
    </row>
    <row r="33" spans="1:8" x14ac:dyDescent="0.3">
      <c r="A33" s="1">
        <v>40663</v>
      </c>
      <c r="B33" t="s">
        <v>37</v>
      </c>
      <c r="C33" t="s">
        <v>23</v>
      </c>
      <c r="D33" t="s">
        <v>50</v>
      </c>
      <c r="E33">
        <v>100</v>
      </c>
      <c r="F33" t="s">
        <v>40</v>
      </c>
      <c r="G33" t="s">
        <v>41</v>
      </c>
      <c r="H33" s="1">
        <v>40663</v>
      </c>
    </row>
    <row r="34" spans="1:8" x14ac:dyDescent="0.3">
      <c r="A34" s="1">
        <v>40663</v>
      </c>
      <c r="B34" t="s">
        <v>37</v>
      </c>
      <c r="C34" t="s">
        <v>23</v>
      </c>
      <c r="D34" t="s">
        <v>50</v>
      </c>
      <c r="E34">
        <v>100</v>
      </c>
      <c r="F34" t="s">
        <v>40</v>
      </c>
      <c r="G34" t="s">
        <v>41</v>
      </c>
      <c r="H34" s="1">
        <v>40663</v>
      </c>
    </row>
    <row r="35" spans="1:8" x14ac:dyDescent="0.3">
      <c r="A35" s="1">
        <v>40548</v>
      </c>
      <c r="B35" t="s">
        <v>11</v>
      </c>
      <c r="C35" t="s">
        <v>60</v>
      </c>
      <c r="D35" t="s">
        <v>13</v>
      </c>
      <c r="E35">
        <v>179</v>
      </c>
      <c r="F35" t="s">
        <v>9</v>
      </c>
      <c r="G35" t="s">
        <v>14</v>
      </c>
      <c r="H35" s="1">
        <v>40668</v>
      </c>
    </row>
    <row r="36" spans="1:8" x14ac:dyDescent="0.3">
      <c r="A36" s="1">
        <v>40548</v>
      </c>
      <c r="B36" t="s">
        <v>61</v>
      </c>
      <c r="C36" t="s">
        <v>27</v>
      </c>
      <c r="D36" t="s">
        <v>62</v>
      </c>
      <c r="E36">
        <v>270</v>
      </c>
      <c r="F36" t="s">
        <v>9</v>
      </c>
      <c r="G36" t="s">
        <v>33</v>
      </c>
      <c r="H36" s="1">
        <v>40668</v>
      </c>
    </row>
    <row r="37" spans="1:8" x14ac:dyDescent="0.3">
      <c r="A37" s="1">
        <v>40668</v>
      </c>
      <c r="B37" t="s">
        <v>18</v>
      </c>
      <c r="C37" t="s">
        <v>19</v>
      </c>
      <c r="D37" t="s">
        <v>20</v>
      </c>
      <c r="E37">
        <v>340</v>
      </c>
      <c r="F37" t="s">
        <v>9</v>
      </c>
      <c r="G37" t="s">
        <v>21</v>
      </c>
      <c r="H37" s="1">
        <v>40668</v>
      </c>
    </row>
    <row r="38" spans="1:8" x14ac:dyDescent="0.3">
      <c r="A38" s="1">
        <v>40729</v>
      </c>
      <c r="B38" t="s">
        <v>63</v>
      </c>
      <c r="C38" t="s">
        <v>64</v>
      </c>
      <c r="D38" t="s">
        <v>65</v>
      </c>
      <c r="E38">
        <v>563</v>
      </c>
      <c r="F38" t="s">
        <v>9</v>
      </c>
      <c r="G38" t="s">
        <v>33</v>
      </c>
      <c r="H38" s="1">
        <v>40670</v>
      </c>
    </row>
    <row r="39" spans="1:8" x14ac:dyDescent="0.3">
      <c r="A39" s="1">
        <v>40821</v>
      </c>
      <c r="B39" t="s">
        <v>66</v>
      </c>
      <c r="C39" t="s">
        <v>27</v>
      </c>
      <c r="D39" t="s">
        <v>67</v>
      </c>
      <c r="E39">
        <v>163</v>
      </c>
      <c r="F39" t="s">
        <v>9</v>
      </c>
      <c r="G39" t="s">
        <v>33</v>
      </c>
      <c r="H39" s="1">
        <v>40673</v>
      </c>
    </row>
    <row r="40" spans="1:8" x14ac:dyDescent="0.3">
      <c r="A40" s="1">
        <v>40678</v>
      </c>
      <c r="B40" t="s">
        <v>22</v>
      </c>
      <c r="C40" t="s">
        <v>23</v>
      </c>
      <c r="D40" t="s">
        <v>24</v>
      </c>
      <c r="E40">
        <v>86</v>
      </c>
      <c r="F40" t="s">
        <v>9</v>
      </c>
      <c r="G40" t="s">
        <v>25</v>
      </c>
      <c r="H40" s="1">
        <v>40678</v>
      </c>
    </row>
    <row r="41" spans="1:8" x14ac:dyDescent="0.3">
      <c r="A41" s="1">
        <v>40678</v>
      </c>
      <c r="B41" t="s">
        <v>22</v>
      </c>
      <c r="C41" t="s">
        <v>23</v>
      </c>
      <c r="D41" t="s">
        <v>24</v>
      </c>
      <c r="E41">
        <v>35</v>
      </c>
      <c r="F41" t="s">
        <v>9</v>
      </c>
      <c r="G41" t="s">
        <v>25</v>
      </c>
      <c r="H41" s="1">
        <v>40678</v>
      </c>
    </row>
    <row r="42" spans="1:8" x14ac:dyDescent="0.3">
      <c r="A42" s="1">
        <v>40683</v>
      </c>
      <c r="B42" t="s">
        <v>26</v>
      </c>
      <c r="C42" t="s">
        <v>27</v>
      </c>
      <c r="D42" t="s">
        <v>28</v>
      </c>
      <c r="E42">
        <v>1000</v>
      </c>
      <c r="F42" t="s">
        <v>9</v>
      </c>
      <c r="G42" t="s">
        <v>29</v>
      </c>
      <c r="H42" s="1">
        <v>40683</v>
      </c>
    </row>
    <row r="43" spans="1:8" x14ac:dyDescent="0.3">
      <c r="A43" s="1">
        <v>40683</v>
      </c>
      <c r="B43" t="s">
        <v>37</v>
      </c>
      <c r="C43" t="s">
        <v>38</v>
      </c>
      <c r="D43" t="s">
        <v>39</v>
      </c>
      <c r="E43">
        <v>-20000</v>
      </c>
      <c r="F43" t="s">
        <v>40</v>
      </c>
      <c r="G43" t="s">
        <v>41</v>
      </c>
      <c r="H43" s="1">
        <v>40683</v>
      </c>
    </row>
    <row r="44" spans="1:8" x14ac:dyDescent="0.3">
      <c r="A44" s="1">
        <v>40683</v>
      </c>
      <c r="B44" t="s">
        <v>37</v>
      </c>
      <c r="C44" t="s">
        <v>38</v>
      </c>
      <c r="D44" t="s">
        <v>39</v>
      </c>
      <c r="E44">
        <v>20000</v>
      </c>
      <c r="F44" t="s">
        <v>40</v>
      </c>
      <c r="G44" t="s">
        <v>42</v>
      </c>
      <c r="H44" s="1">
        <v>40683</v>
      </c>
    </row>
    <row r="45" spans="1:8" x14ac:dyDescent="0.3">
      <c r="A45" s="1">
        <v>40688</v>
      </c>
      <c r="B45" t="s">
        <v>37</v>
      </c>
      <c r="C45" t="s">
        <v>43</v>
      </c>
      <c r="D45" t="s">
        <v>44</v>
      </c>
      <c r="E45">
        <v>20000</v>
      </c>
      <c r="F45" t="s">
        <v>40</v>
      </c>
      <c r="G45" t="s">
        <v>42</v>
      </c>
      <c r="H45" s="1">
        <v>40688</v>
      </c>
    </row>
    <row r="46" spans="1:8" x14ac:dyDescent="0.3">
      <c r="A46" s="1">
        <v>40689</v>
      </c>
      <c r="B46" t="s">
        <v>45</v>
      </c>
      <c r="C46" t="s">
        <v>19</v>
      </c>
      <c r="D46" t="s">
        <v>46</v>
      </c>
      <c r="E46">
        <v>220</v>
      </c>
      <c r="F46" t="s">
        <v>40</v>
      </c>
      <c r="G46" t="s">
        <v>10</v>
      </c>
      <c r="H46" s="1">
        <v>40689</v>
      </c>
    </row>
    <row r="47" spans="1:8" x14ac:dyDescent="0.3">
      <c r="A47" s="1">
        <v>40689</v>
      </c>
      <c r="B47" t="s">
        <v>45</v>
      </c>
      <c r="C47" t="s">
        <v>19</v>
      </c>
      <c r="D47" t="s">
        <v>47</v>
      </c>
      <c r="E47">
        <v>100</v>
      </c>
      <c r="F47" t="s">
        <v>40</v>
      </c>
      <c r="G47" t="s">
        <v>10</v>
      </c>
      <c r="H47" s="1">
        <v>40689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30568-6915-42D2-8DE0-8A3320748BEE}">
  <dimension ref="A1:C13"/>
  <sheetViews>
    <sheetView tabSelected="1" workbookViewId="0">
      <selection activeCell="A2" sqref="A2"/>
    </sheetView>
  </sheetViews>
  <sheetFormatPr defaultRowHeight="14.4" x14ac:dyDescent="0.3"/>
  <cols>
    <col min="1" max="1" width="25" bestFit="1" customWidth="1"/>
    <col min="2" max="2" width="14.5546875" bestFit="1" customWidth="1"/>
    <col min="3" max="4" width="11.21875" bestFit="1" customWidth="1"/>
  </cols>
  <sheetData>
    <row r="1" spans="1:3" x14ac:dyDescent="0.3">
      <c r="A1" s="6" t="s">
        <v>73</v>
      </c>
      <c r="B1" s="6" t="s">
        <v>1</v>
      </c>
      <c r="C1" t="s">
        <v>83</v>
      </c>
    </row>
    <row r="2" spans="1:3" x14ac:dyDescent="0.3">
      <c r="A2" t="s">
        <v>72</v>
      </c>
      <c r="B2" t="s">
        <v>61</v>
      </c>
      <c r="C2" s="7">
        <v>270</v>
      </c>
    </row>
    <row r="3" spans="1:3" x14ac:dyDescent="0.3">
      <c r="A3" t="s">
        <v>74</v>
      </c>
      <c r="B3" t="s">
        <v>48</v>
      </c>
      <c r="C3" s="7">
        <v>6400</v>
      </c>
    </row>
    <row r="4" spans="1:3" x14ac:dyDescent="0.3">
      <c r="A4" t="s">
        <v>75</v>
      </c>
      <c r="B4" t="s">
        <v>52</v>
      </c>
      <c r="C4" s="7">
        <v>3000</v>
      </c>
    </row>
    <row r="5" spans="1:3" x14ac:dyDescent="0.3">
      <c r="A5" t="s">
        <v>76</v>
      </c>
      <c r="B5" t="s">
        <v>55</v>
      </c>
      <c r="C5" s="7">
        <v>3000</v>
      </c>
    </row>
    <row r="6" spans="1:3" x14ac:dyDescent="0.3">
      <c r="B6" t="s">
        <v>48</v>
      </c>
      <c r="C6" s="7">
        <v>6400</v>
      </c>
    </row>
    <row r="7" spans="1:3" x14ac:dyDescent="0.3">
      <c r="A7" t="s">
        <v>77</v>
      </c>
      <c r="B7" t="s">
        <v>15</v>
      </c>
      <c r="C7" s="7">
        <v>478</v>
      </c>
    </row>
    <row r="8" spans="1:3" x14ac:dyDescent="0.3">
      <c r="A8" t="s">
        <v>78</v>
      </c>
      <c r="B8" t="s">
        <v>30</v>
      </c>
      <c r="C8" s="7">
        <v>87</v>
      </c>
    </row>
    <row r="9" spans="1:3" x14ac:dyDescent="0.3">
      <c r="A9" t="s">
        <v>79</v>
      </c>
      <c r="B9" t="s">
        <v>63</v>
      </c>
      <c r="C9" s="7">
        <v>563</v>
      </c>
    </row>
    <row r="10" spans="1:3" x14ac:dyDescent="0.3">
      <c r="A10" t="s">
        <v>80</v>
      </c>
      <c r="B10" t="s">
        <v>30</v>
      </c>
      <c r="C10" s="7">
        <v>106</v>
      </c>
    </row>
    <row r="11" spans="1:3" x14ac:dyDescent="0.3">
      <c r="A11" t="s">
        <v>81</v>
      </c>
      <c r="B11" t="s">
        <v>34</v>
      </c>
      <c r="C11" s="7">
        <v>200</v>
      </c>
    </row>
    <row r="12" spans="1:3" x14ac:dyDescent="0.3">
      <c r="A12" t="s">
        <v>82</v>
      </c>
      <c r="B12" t="s">
        <v>66</v>
      </c>
      <c r="C12" s="7">
        <v>163</v>
      </c>
    </row>
    <row r="13" spans="1:3" x14ac:dyDescent="0.3">
      <c r="A13" t="s">
        <v>71</v>
      </c>
      <c r="C13" s="7">
        <v>20667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A3289-4D39-4441-AC94-A967E6E0DE9F}">
  <sheetPr codeName="Sheet1"/>
  <dimension ref="A1:H47"/>
  <sheetViews>
    <sheetView workbookViewId="0">
      <pane ySplit="1" topLeftCell="A2" activePane="bottomLeft" state="frozen"/>
      <selection pane="bottomLeft" activeCell="D34" sqref="D34"/>
    </sheetView>
  </sheetViews>
  <sheetFormatPr defaultRowHeight="14.4" x14ac:dyDescent="0.3"/>
  <cols>
    <col min="1" max="1" width="16.88671875" style="1" customWidth="1"/>
    <col min="2" max="2" width="16.6640625" bestFit="1" customWidth="1"/>
    <col min="3" max="3" width="14" bestFit="1" customWidth="1"/>
    <col min="4" max="4" width="23.109375" bestFit="1" customWidth="1"/>
    <col min="5" max="5" width="20.88671875" style="5" customWidth="1"/>
    <col min="6" max="6" width="10.5546875" customWidth="1"/>
    <col min="7" max="7" width="14.6640625" customWidth="1"/>
    <col min="8" max="8" width="14.77734375" customWidth="1"/>
  </cols>
  <sheetData>
    <row r="1" spans="1:8" s="2" customFormat="1" x14ac:dyDescent="0.3">
      <c r="A1" s="3" t="s">
        <v>68</v>
      </c>
      <c r="B1" s="2" t="s">
        <v>1</v>
      </c>
      <c r="C1" s="2" t="s">
        <v>2</v>
      </c>
      <c r="D1" s="2" t="s">
        <v>3</v>
      </c>
      <c r="E1" s="4" t="s">
        <v>4</v>
      </c>
      <c r="F1" s="2" t="s">
        <v>70</v>
      </c>
      <c r="G1" s="2" t="s">
        <v>5</v>
      </c>
      <c r="H1" s="2" t="s">
        <v>6</v>
      </c>
    </row>
    <row r="2" spans="1:8" x14ac:dyDescent="0.3">
      <c r="A2" s="1">
        <v>40588</v>
      </c>
      <c r="B2" t="s">
        <v>7</v>
      </c>
      <c r="C2" t="s">
        <v>69</v>
      </c>
      <c r="D2" t="s">
        <v>8</v>
      </c>
      <c r="E2" s="5">
        <v>5100</v>
      </c>
      <c r="F2" t="s">
        <v>9</v>
      </c>
      <c r="G2" t="s">
        <v>10</v>
      </c>
      <c r="H2" s="1">
        <v>40604</v>
      </c>
    </row>
    <row r="3" spans="1:8" x14ac:dyDescent="0.3">
      <c r="A3" s="1">
        <v>40546</v>
      </c>
      <c r="B3" t="s">
        <v>11</v>
      </c>
      <c r="C3" t="s">
        <v>12</v>
      </c>
      <c r="D3" t="s">
        <v>13</v>
      </c>
      <c r="E3" s="5">
        <v>179</v>
      </c>
      <c r="F3" t="s">
        <v>9</v>
      </c>
      <c r="G3" t="s">
        <v>14</v>
      </c>
      <c r="H3" s="1">
        <v>40607</v>
      </c>
    </row>
    <row r="4" spans="1:8" x14ac:dyDescent="0.3">
      <c r="A4" s="1">
        <v>40666</v>
      </c>
      <c r="B4" t="s">
        <v>15</v>
      </c>
      <c r="C4">
        <v>813119</v>
      </c>
      <c r="D4" t="s">
        <v>16</v>
      </c>
      <c r="E4" s="5">
        <v>478</v>
      </c>
      <c r="F4" t="s">
        <v>9</v>
      </c>
      <c r="G4" t="s">
        <v>17</v>
      </c>
      <c r="H4" s="1">
        <v>40617</v>
      </c>
    </row>
    <row r="5" spans="1:8" x14ac:dyDescent="0.3">
      <c r="A5" s="1">
        <v>40666</v>
      </c>
      <c r="B5" t="s">
        <v>18</v>
      </c>
      <c r="C5" t="s">
        <v>19</v>
      </c>
      <c r="D5" t="s">
        <v>20</v>
      </c>
      <c r="E5" s="5">
        <v>340</v>
      </c>
      <c r="F5" t="s">
        <v>9</v>
      </c>
      <c r="G5" t="s">
        <v>21</v>
      </c>
      <c r="H5" s="1">
        <v>40607</v>
      </c>
    </row>
    <row r="6" spans="1:8" x14ac:dyDescent="0.3">
      <c r="A6" s="1">
        <v>40666</v>
      </c>
      <c r="B6" t="s">
        <v>22</v>
      </c>
      <c r="C6" t="s">
        <v>23</v>
      </c>
      <c r="D6" t="s">
        <v>24</v>
      </c>
      <c r="E6" s="5">
        <v>35</v>
      </c>
      <c r="F6" t="s">
        <v>9</v>
      </c>
      <c r="G6" t="s">
        <v>25</v>
      </c>
      <c r="H6" s="1">
        <v>40607</v>
      </c>
    </row>
    <row r="7" spans="1:8" x14ac:dyDescent="0.3">
      <c r="A7" s="1">
        <v>40727</v>
      </c>
      <c r="B7" t="s">
        <v>22</v>
      </c>
      <c r="C7" t="s">
        <v>23</v>
      </c>
      <c r="D7" t="s">
        <v>24</v>
      </c>
      <c r="E7" s="5">
        <v>86</v>
      </c>
      <c r="F7" t="s">
        <v>9</v>
      </c>
      <c r="G7" t="s">
        <v>25</v>
      </c>
      <c r="H7" s="1">
        <v>40609</v>
      </c>
    </row>
    <row r="8" spans="1:8" x14ac:dyDescent="0.3">
      <c r="A8" s="1">
        <v>40758</v>
      </c>
      <c r="B8" t="s">
        <v>26</v>
      </c>
      <c r="C8" t="s">
        <v>27</v>
      </c>
      <c r="D8" t="s">
        <v>28</v>
      </c>
      <c r="E8" s="5">
        <v>1000</v>
      </c>
      <c r="F8" t="s">
        <v>9</v>
      </c>
      <c r="G8" t="s">
        <v>29</v>
      </c>
      <c r="H8" s="1">
        <v>40638</v>
      </c>
    </row>
    <row r="9" spans="1:8" x14ac:dyDescent="0.3">
      <c r="A9" s="1">
        <v>40758</v>
      </c>
      <c r="B9" t="s">
        <v>30</v>
      </c>
      <c r="C9" t="s">
        <v>31</v>
      </c>
      <c r="D9" t="s">
        <v>32</v>
      </c>
      <c r="E9" s="5">
        <v>106</v>
      </c>
      <c r="F9" t="s">
        <v>9</v>
      </c>
      <c r="G9" t="s">
        <v>33</v>
      </c>
      <c r="H9" s="1">
        <v>40610</v>
      </c>
    </row>
    <row r="10" spans="1:8" x14ac:dyDescent="0.3">
      <c r="A10" s="1">
        <v>40819</v>
      </c>
      <c r="B10" t="s">
        <v>34</v>
      </c>
      <c r="C10" t="s">
        <v>35</v>
      </c>
      <c r="D10" t="s">
        <v>36</v>
      </c>
      <c r="E10" s="5">
        <v>200</v>
      </c>
      <c r="F10" t="s">
        <v>9</v>
      </c>
      <c r="G10" t="s">
        <v>33</v>
      </c>
      <c r="H10" s="1">
        <v>40612</v>
      </c>
    </row>
    <row r="11" spans="1:8" x14ac:dyDescent="0.3">
      <c r="A11" s="1">
        <v>40622</v>
      </c>
      <c r="B11" t="s">
        <v>37</v>
      </c>
      <c r="C11" t="s">
        <v>38</v>
      </c>
      <c r="D11" t="s">
        <v>39</v>
      </c>
      <c r="E11" s="5">
        <v>-15000</v>
      </c>
      <c r="F11" t="s">
        <v>40</v>
      </c>
      <c r="G11" t="s">
        <v>41</v>
      </c>
      <c r="H11" s="1">
        <v>40622</v>
      </c>
    </row>
    <row r="12" spans="1:8" x14ac:dyDescent="0.3">
      <c r="A12" s="1">
        <v>40622</v>
      </c>
      <c r="B12" t="s">
        <v>37</v>
      </c>
      <c r="C12" t="s">
        <v>38</v>
      </c>
      <c r="D12" t="s">
        <v>39</v>
      </c>
      <c r="E12" s="5">
        <v>15000</v>
      </c>
      <c r="F12" t="s">
        <v>40</v>
      </c>
      <c r="G12" t="s">
        <v>42</v>
      </c>
      <c r="H12" s="1">
        <v>40622</v>
      </c>
    </row>
    <row r="13" spans="1:8" x14ac:dyDescent="0.3">
      <c r="A13" s="1">
        <v>40627</v>
      </c>
      <c r="B13" t="s">
        <v>37</v>
      </c>
      <c r="C13" t="s">
        <v>43</v>
      </c>
      <c r="D13" t="s">
        <v>44</v>
      </c>
      <c r="E13" s="5">
        <v>13000</v>
      </c>
      <c r="F13" t="s">
        <v>40</v>
      </c>
      <c r="G13" t="s">
        <v>42</v>
      </c>
      <c r="H13" s="1">
        <v>40627</v>
      </c>
    </row>
    <row r="14" spans="1:8" x14ac:dyDescent="0.3">
      <c r="A14" s="1">
        <v>40628</v>
      </c>
      <c r="B14" t="s">
        <v>45</v>
      </c>
      <c r="C14" t="s">
        <v>19</v>
      </c>
      <c r="D14" t="s">
        <v>46</v>
      </c>
      <c r="E14" s="5">
        <v>220</v>
      </c>
      <c r="F14" t="s">
        <v>40</v>
      </c>
      <c r="G14" t="s">
        <v>10</v>
      </c>
      <c r="H14" s="1">
        <v>40628</v>
      </c>
    </row>
    <row r="15" spans="1:8" x14ac:dyDescent="0.3">
      <c r="A15" s="1">
        <v>40628</v>
      </c>
      <c r="B15" t="s">
        <v>45</v>
      </c>
      <c r="C15" t="s">
        <v>19</v>
      </c>
      <c r="D15" t="s">
        <v>47</v>
      </c>
      <c r="E15" s="5">
        <v>100</v>
      </c>
      <c r="F15" t="s">
        <v>40</v>
      </c>
      <c r="G15" t="s">
        <v>10</v>
      </c>
      <c r="H15" s="1">
        <v>40628</v>
      </c>
    </row>
    <row r="16" spans="1:8" x14ac:dyDescent="0.3">
      <c r="A16" s="1">
        <v>40628</v>
      </c>
      <c r="B16" t="s">
        <v>48</v>
      </c>
      <c r="C16" t="s">
        <v>19</v>
      </c>
      <c r="D16" t="s">
        <v>49</v>
      </c>
      <c r="E16" s="5">
        <v>6400</v>
      </c>
      <c r="F16" t="s">
        <v>40</v>
      </c>
      <c r="G16" t="s">
        <v>33</v>
      </c>
      <c r="H16" s="1">
        <v>40628</v>
      </c>
    </row>
    <row r="17" spans="1:8" x14ac:dyDescent="0.3">
      <c r="A17" s="1">
        <v>40633</v>
      </c>
      <c r="B17" t="s">
        <v>37</v>
      </c>
      <c r="C17" t="s">
        <v>23</v>
      </c>
      <c r="D17" t="s">
        <v>50</v>
      </c>
      <c r="E17" s="5">
        <v>100</v>
      </c>
      <c r="F17" t="s">
        <v>40</v>
      </c>
      <c r="G17" t="s">
        <v>41</v>
      </c>
      <c r="H17" s="1">
        <v>40633</v>
      </c>
    </row>
    <row r="18" spans="1:8" x14ac:dyDescent="0.3">
      <c r="A18" s="1">
        <v>40633</v>
      </c>
      <c r="B18" t="s">
        <v>37</v>
      </c>
      <c r="C18" t="s">
        <v>23</v>
      </c>
      <c r="D18" t="s">
        <v>50</v>
      </c>
      <c r="E18" s="5">
        <v>100</v>
      </c>
      <c r="F18" t="s">
        <v>40</v>
      </c>
      <c r="G18" t="s">
        <v>41</v>
      </c>
      <c r="H18" s="1">
        <v>40633</v>
      </c>
    </row>
    <row r="19" spans="1:8" x14ac:dyDescent="0.3">
      <c r="A19" s="1">
        <v>40547</v>
      </c>
      <c r="B19" t="s">
        <v>11</v>
      </c>
      <c r="C19" t="s">
        <v>51</v>
      </c>
      <c r="D19" t="s">
        <v>13</v>
      </c>
      <c r="E19" s="5">
        <v>179</v>
      </c>
      <c r="F19" t="s">
        <v>9</v>
      </c>
      <c r="G19" t="s">
        <v>14</v>
      </c>
      <c r="H19" s="1">
        <v>40638</v>
      </c>
    </row>
    <row r="20" spans="1:8" x14ac:dyDescent="0.3">
      <c r="A20" s="1">
        <v>40667</v>
      </c>
      <c r="B20" t="s">
        <v>18</v>
      </c>
      <c r="C20" t="s">
        <v>19</v>
      </c>
      <c r="D20" t="s">
        <v>20</v>
      </c>
      <c r="E20" s="5">
        <v>340</v>
      </c>
      <c r="F20" t="s">
        <v>9</v>
      </c>
      <c r="G20" t="s">
        <v>21</v>
      </c>
      <c r="H20" s="1">
        <v>40638</v>
      </c>
    </row>
    <row r="21" spans="1:8" x14ac:dyDescent="0.3">
      <c r="A21" s="1">
        <v>40667</v>
      </c>
      <c r="B21" t="s">
        <v>30</v>
      </c>
      <c r="C21" t="s">
        <v>31</v>
      </c>
      <c r="D21" t="s">
        <v>32</v>
      </c>
      <c r="E21" s="5">
        <v>87</v>
      </c>
      <c r="F21" t="s">
        <v>9</v>
      </c>
      <c r="G21" t="s">
        <v>33</v>
      </c>
      <c r="H21" s="1">
        <v>40638</v>
      </c>
    </row>
    <row r="22" spans="1:8" x14ac:dyDescent="0.3">
      <c r="A22" s="1">
        <v>40667</v>
      </c>
      <c r="B22" t="s">
        <v>22</v>
      </c>
      <c r="C22" t="s">
        <v>23</v>
      </c>
      <c r="D22" t="s">
        <v>24</v>
      </c>
      <c r="E22" s="5">
        <v>35</v>
      </c>
      <c r="F22" t="s">
        <v>9</v>
      </c>
      <c r="G22" t="s">
        <v>25</v>
      </c>
      <c r="H22" s="1">
        <v>40638</v>
      </c>
    </row>
    <row r="23" spans="1:8" x14ac:dyDescent="0.3">
      <c r="A23" s="1">
        <v>40648</v>
      </c>
      <c r="B23" t="s">
        <v>26</v>
      </c>
      <c r="C23" t="s">
        <v>27</v>
      </c>
      <c r="D23" t="s">
        <v>28</v>
      </c>
      <c r="E23" s="5">
        <v>1000</v>
      </c>
      <c r="F23" t="s">
        <v>9</v>
      </c>
      <c r="G23" t="s">
        <v>29</v>
      </c>
      <c r="H23" s="1">
        <v>40648</v>
      </c>
    </row>
    <row r="24" spans="1:8" x14ac:dyDescent="0.3">
      <c r="A24" s="1">
        <v>40653</v>
      </c>
      <c r="B24" t="s">
        <v>37</v>
      </c>
      <c r="C24" t="s">
        <v>38</v>
      </c>
      <c r="D24" t="s">
        <v>39</v>
      </c>
      <c r="E24" s="5">
        <v>-20000</v>
      </c>
      <c r="F24" t="s">
        <v>40</v>
      </c>
      <c r="G24" t="s">
        <v>41</v>
      </c>
      <c r="H24" s="1">
        <v>40653</v>
      </c>
    </row>
    <row r="25" spans="1:8" x14ac:dyDescent="0.3">
      <c r="A25" s="1">
        <v>40653</v>
      </c>
      <c r="B25" t="s">
        <v>37</v>
      </c>
      <c r="C25" t="s">
        <v>38</v>
      </c>
      <c r="D25" t="s">
        <v>39</v>
      </c>
      <c r="E25" s="5">
        <v>20000</v>
      </c>
      <c r="F25" t="s">
        <v>40</v>
      </c>
      <c r="G25" t="s">
        <v>42</v>
      </c>
      <c r="H25" s="1">
        <v>40653</v>
      </c>
    </row>
    <row r="26" spans="1:8" x14ac:dyDescent="0.3">
      <c r="A26" s="1">
        <v>40654</v>
      </c>
      <c r="B26" t="s">
        <v>52</v>
      </c>
      <c r="C26" t="s">
        <v>53</v>
      </c>
      <c r="D26" t="s">
        <v>54</v>
      </c>
      <c r="E26" s="5">
        <v>3000</v>
      </c>
      <c r="F26" t="s">
        <v>9</v>
      </c>
      <c r="G26" t="s">
        <v>33</v>
      </c>
      <c r="H26" s="1">
        <v>40654</v>
      </c>
    </row>
    <row r="27" spans="1:8" x14ac:dyDescent="0.3">
      <c r="A27" s="1">
        <v>40658</v>
      </c>
      <c r="B27" t="s">
        <v>37</v>
      </c>
      <c r="C27" t="s">
        <v>43</v>
      </c>
      <c r="D27" t="s">
        <v>44</v>
      </c>
      <c r="E27" s="5">
        <v>20000</v>
      </c>
      <c r="F27" t="s">
        <v>40</v>
      </c>
      <c r="G27" t="s">
        <v>42</v>
      </c>
      <c r="H27" s="1">
        <v>40658</v>
      </c>
    </row>
    <row r="28" spans="1:8" x14ac:dyDescent="0.3">
      <c r="A28" s="1">
        <v>40659</v>
      </c>
      <c r="B28" t="s">
        <v>55</v>
      </c>
      <c r="C28" t="s">
        <v>27</v>
      </c>
      <c r="D28" t="s">
        <v>56</v>
      </c>
      <c r="E28" s="5">
        <v>3000</v>
      </c>
      <c r="F28" t="s">
        <v>9</v>
      </c>
      <c r="G28" t="s">
        <v>33</v>
      </c>
      <c r="H28" s="1">
        <v>40689</v>
      </c>
    </row>
    <row r="29" spans="1:8" x14ac:dyDescent="0.3">
      <c r="A29" s="1">
        <v>40659</v>
      </c>
      <c r="B29" t="s">
        <v>45</v>
      </c>
      <c r="C29" t="s">
        <v>19</v>
      </c>
      <c r="D29" t="s">
        <v>46</v>
      </c>
      <c r="E29" s="5">
        <v>220</v>
      </c>
      <c r="F29" t="s">
        <v>40</v>
      </c>
      <c r="G29" t="s">
        <v>10</v>
      </c>
      <c r="H29" s="1">
        <v>40659</v>
      </c>
    </row>
    <row r="30" spans="1:8" x14ac:dyDescent="0.3">
      <c r="A30" s="1">
        <v>40659</v>
      </c>
      <c r="B30" t="s">
        <v>45</v>
      </c>
      <c r="C30" t="s">
        <v>19</v>
      </c>
      <c r="D30" t="s">
        <v>47</v>
      </c>
      <c r="E30" s="5">
        <v>100</v>
      </c>
      <c r="F30" t="s">
        <v>40</v>
      </c>
      <c r="G30" t="s">
        <v>10</v>
      </c>
      <c r="H30" s="1">
        <v>40659</v>
      </c>
    </row>
    <row r="31" spans="1:8" x14ac:dyDescent="0.3">
      <c r="A31" s="1">
        <v>40659</v>
      </c>
      <c r="B31" t="s">
        <v>48</v>
      </c>
      <c r="C31" t="s">
        <v>19</v>
      </c>
      <c r="D31" t="s">
        <v>49</v>
      </c>
      <c r="E31" s="5">
        <v>6400</v>
      </c>
      <c r="F31" t="s">
        <v>40</v>
      </c>
      <c r="G31" t="s">
        <v>33</v>
      </c>
      <c r="H31" s="1">
        <v>40659</v>
      </c>
    </row>
    <row r="32" spans="1:8" x14ac:dyDescent="0.3">
      <c r="A32" s="1">
        <v>40663</v>
      </c>
      <c r="B32" t="s">
        <v>57</v>
      </c>
      <c r="C32">
        <v>111799</v>
      </c>
      <c r="D32" t="s">
        <v>58</v>
      </c>
      <c r="E32" s="5">
        <v>610</v>
      </c>
      <c r="F32" t="s">
        <v>9</v>
      </c>
      <c r="G32" t="s">
        <v>59</v>
      </c>
      <c r="H32" s="1">
        <v>40663</v>
      </c>
    </row>
    <row r="33" spans="1:8" x14ac:dyDescent="0.3">
      <c r="A33" s="1">
        <v>40663</v>
      </c>
      <c r="B33" t="s">
        <v>37</v>
      </c>
      <c r="C33" t="s">
        <v>23</v>
      </c>
      <c r="D33" t="s">
        <v>50</v>
      </c>
      <c r="E33" s="5">
        <v>100</v>
      </c>
      <c r="F33" t="s">
        <v>40</v>
      </c>
      <c r="G33" t="s">
        <v>41</v>
      </c>
      <c r="H33" s="1">
        <v>40663</v>
      </c>
    </row>
    <row r="34" spans="1:8" x14ac:dyDescent="0.3">
      <c r="A34" s="1">
        <v>40663</v>
      </c>
      <c r="B34" t="s">
        <v>37</v>
      </c>
      <c r="C34" t="s">
        <v>23</v>
      </c>
      <c r="D34" t="s">
        <v>50</v>
      </c>
      <c r="E34" s="5">
        <v>100</v>
      </c>
      <c r="F34" t="s">
        <v>40</v>
      </c>
      <c r="G34" t="s">
        <v>41</v>
      </c>
      <c r="H34" s="1">
        <v>40663</v>
      </c>
    </row>
    <row r="35" spans="1:8" x14ac:dyDescent="0.3">
      <c r="A35" s="1">
        <v>40548</v>
      </c>
      <c r="B35" t="s">
        <v>11</v>
      </c>
      <c r="C35" t="s">
        <v>60</v>
      </c>
      <c r="D35" t="s">
        <v>13</v>
      </c>
      <c r="E35" s="5">
        <v>179</v>
      </c>
      <c r="F35" t="s">
        <v>9</v>
      </c>
      <c r="G35" t="s">
        <v>14</v>
      </c>
      <c r="H35" s="1">
        <v>40668</v>
      </c>
    </row>
    <row r="36" spans="1:8" x14ac:dyDescent="0.3">
      <c r="A36" s="1">
        <v>40548</v>
      </c>
      <c r="B36" t="s">
        <v>61</v>
      </c>
      <c r="C36" t="s">
        <v>27</v>
      </c>
      <c r="D36" t="s">
        <v>62</v>
      </c>
      <c r="E36" s="5">
        <v>270</v>
      </c>
      <c r="F36" t="s">
        <v>9</v>
      </c>
      <c r="G36" t="s">
        <v>33</v>
      </c>
      <c r="H36" s="1">
        <v>40668</v>
      </c>
    </row>
    <row r="37" spans="1:8" x14ac:dyDescent="0.3">
      <c r="A37" s="1">
        <v>40668</v>
      </c>
      <c r="B37" t="s">
        <v>18</v>
      </c>
      <c r="C37" t="s">
        <v>19</v>
      </c>
      <c r="D37" t="s">
        <v>20</v>
      </c>
      <c r="E37" s="5">
        <v>340</v>
      </c>
      <c r="F37" t="s">
        <v>9</v>
      </c>
      <c r="G37" t="s">
        <v>21</v>
      </c>
      <c r="H37" s="1">
        <v>40668</v>
      </c>
    </row>
    <row r="38" spans="1:8" x14ac:dyDescent="0.3">
      <c r="A38" s="1">
        <v>40729</v>
      </c>
      <c r="B38" t="s">
        <v>63</v>
      </c>
      <c r="C38" t="s">
        <v>64</v>
      </c>
      <c r="D38" t="s">
        <v>65</v>
      </c>
      <c r="E38" s="5">
        <v>563</v>
      </c>
      <c r="F38" t="s">
        <v>9</v>
      </c>
      <c r="G38" t="s">
        <v>33</v>
      </c>
      <c r="H38" s="1">
        <v>40670</v>
      </c>
    </row>
    <row r="39" spans="1:8" x14ac:dyDescent="0.3">
      <c r="A39" s="1">
        <v>40821</v>
      </c>
      <c r="B39" t="s">
        <v>66</v>
      </c>
      <c r="C39" t="s">
        <v>27</v>
      </c>
      <c r="D39" t="s">
        <v>67</v>
      </c>
      <c r="E39" s="5">
        <v>163</v>
      </c>
      <c r="F39" t="s">
        <v>9</v>
      </c>
      <c r="G39" t="s">
        <v>33</v>
      </c>
      <c r="H39" s="1">
        <v>40673</v>
      </c>
    </row>
    <row r="40" spans="1:8" x14ac:dyDescent="0.3">
      <c r="A40" s="1">
        <v>40678</v>
      </c>
      <c r="B40" t="s">
        <v>22</v>
      </c>
      <c r="C40" t="s">
        <v>23</v>
      </c>
      <c r="D40" t="s">
        <v>24</v>
      </c>
      <c r="E40" s="5">
        <v>86</v>
      </c>
      <c r="F40" t="s">
        <v>9</v>
      </c>
      <c r="G40" t="s">
        <v>25</v>
      </c>
      <c r="H40" s="1">
        <v>40678</v>
      </c>
    </row>
    <row r="41" spans="1:8" x14ac:dyDescent="0.3">
      <c r="A41" s="1">
        <v>40678</v>
      </c>
      <c r="B41" t="s">
        <v>22</v>
      </c>
      <c r="C41" t="s">
        <v>23</v>
      </c>
      <c r="D41" t="s">
        <v>24</v>
      </c>
      <c r="E41" s="5">
        <v>35</v>
      </c>
      <c r="F41" t="s">
        <v>9</v>
      </c>
      <c r="G41" t="s">
        <v>25</v>
      </c>
      <c r="H41" s="1">
        <v>40678</v>
      </c>
    </row>
    <row r="42" spans="1:8" x14ac:dyDescent="0.3">
      <c r="A42" s="1">
        <v>40683</v>
      </c>
      <c r="B42" t="s">
        <v>26</v>
      </c>
      <c r="C42" t="s">
        <v>27</v>
      </c>
      <c r="D42" t="s">
        <v>28</v>
      </c>
      <c r="E42" s="5">
        <v>1000</v>
      </c>
      <c r="F42" t="s">
        <v>9</v>
      </c>
      <c r="G42" t="s">
        <v>29</v>
      </c>
      <c r="H42" s="1">
        <v>40683</v>
      </c>
    </row>
    <row r="43" spans="1:8" x14ac:dyDescent="0.3">
      <c r="A43" s="1">
        <v>40683</v>
      </c>
      <c r="B43" t="s">
        <v>37</v>
      </c>
      <c r="C43" t="s">
        <v>38</v>
      </c>
      <c r="D43" t="s">
        <v>39</v>
      </c>
      <c r="E43" s="5">
        <v>-20000</v>
      </c>
      <c r="F43" t="s">
        <v>40</v>
      </c>
      <c r="G43" t="s">
        <v>41</v>
      </c>
      <c r="H43" s="1">
        <v>40683</v>
      </c>
    </row>
    <row r="44" spans="1:8" x14ac:dyDescent="0.3">
      <c r="A44" s="1">
        <v>40683</v>
      </c>
      <c r="B44" t="s">
        <v>37</v>
      </c>
      <c r="C44" t="s">
        <v>38</v>
      </c>
      <c r="D44" t="s">
        <v>39</v>
      </c>
      <c r="E44" s="5">
        <v>20000</v>
      </c>
      <c r="F44" t="s">
        <v>40</v>
      </c>
      <c r="G44" t="s">
        <v>42</v>
      </c>
      <c r="H44" s="1">
        <v>40683</v>
      </c>
    </row>
    <row r="45" spans="1:8" x14ac:dyDescent="0.3">
      <c r="A45" s="1">
        <v>40688</v>
      </c>
      <c r="B45" t="s">
        <v>37</v>
      </c>
      <c r="C45" t="s">
        <v>43</v>
      </c>
      <c r="D45" t="s">
        <v>44</v>
      </c>
      <c r="E45" s="5">
        <v>20000</v>
      </c>
      <c r="F45" t="s">
        <v>40</v>
      </c>
      <c r="G45" t="s">
        <v>42</v>
      </c>
      <c r="H45" s="1">
        <v>40688</v>
      </c>
    </row>
    <row r="46" spans="1:8" x14ac:dyDescent="0.3">
      <c r="A46" s="1">
        <v>40689</v>
      </c>
      <c r="B46" t="s">
        <v>45</v>
      </c>
      <c r="C46" t="s">
        <v>19</v>
      </c>
      <c r="D46" t="s">
        <v>46</v>
      </c>
      <c r="E46" s="5">
        <v>220</v>
      </c>
      <c r="F46" t="s">
        <v>40</v>
      </c>
      <c r="G46" t="s">
        <v>10</v>
      </c>
      <c r="H46" s="1">
        <v>40689</v>
      </c>
    </row>
    <row r="47" spans="1:8" x14ac:dyDescent="0.3">
      <c r="A47" s="1">
        <v>40689</v>
      </c>
      <c r="B47" t="s">
        <v>45</v>
      </c>
      <c r="C47" t="s">
        <v>19</v>
      </c>
      <c r="D47" t="s">
        <v>47</v>
      </c>
      <c r="E47" s="5">
        <v>100</v>
      </c>
      <c r="F47" t="s">
        <v>40</v>
      </c>
      <c r="G47" t="s">
        <v>10</v>
      </c>
      <c r="H47" s="1">
        <v>40689</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89119F-3E3E-46B4-B587-06351426D63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Table1</vt:lpstr>
      <vt:lpstr>Pivot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Shah Parshwa</dc:creator>
  <cp:lastModifiedBy>Shah Parshwa</cp:lastModifiedBy>
  <dcterms:created xsi:type="dcterms:W3CDTF">2025-04-27T07:36:09Z</dcterms:created>
  <dcterms:modified xsi:type="dcterms:W3CDTF">2025-04-27T12:38:03Z</dcterms:modified>
</cp:coreProperties>
</file>